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4"/>
    <sheet state="visible" name="Q2" sheetId="2" r:id="rId5"/>
    <sheet state="visible" name="Q3" sheetId="3" r:id="rId6"/>
    <sheet state="visible" name="Q4,5,6,7,8" sheetId="4" r:id="rId7"/>
    <sheet state="visible" name="Sheet5" sheetId="5" r:id="rId8"/>
  </sheets>
  <definedNames/>
  <calcPr/>
</workbook>
</file>

<file path=xl/sharedStrings.xml><?xml version="1.0" encoding="utf-8"?>
<sst xmlns="http://schemas.openxmlformats.org/spreadsheetml/2006/main" count="241" uniqueCount="140">
  <si>
    <t>Q1) Expain the difference between Relative , Absolute and Mixed Cell Referencing</t>
  </si>
  <si>
    <t xml:space="preserve">A: The three types of references that can be used in Excel and Google Sheets are identified by the presence or absence of dollar signs ($) within the cell reference. A dollar sign can be used to lock either the column or the row or both. </t>
  </si>
  <si>
    <r>
      <rPr>
        <rFont val="Arial"/>
        <b/>
        <color theme="1"/>
      </rPr>
      <t>Relative cell references</t>
    </r>
    <r>
      <rPr>
        <rFont val="Arial"/>
        <color theme="1"/>
      </rPr>
      <t xml:space="preserve"> contain no dollar signs. It adjusts automatically when you copy the formula to other cells </t>
    </r>
  </si>
  <si>
    <r>
      <rPr>
        <rFont val="Arial"/>
        <b/>
        <color theme="1"/>
      </rPr>
      <t>Absolute cell references</t>
    </r>
    <r>
      <rPr>
        <rFont val="Arial"/>
        <color theme="1"/>
      </rPr>
      <t xml:space="preserve"> have dollar signs attached to both column and row in a reference. It stays completely fixed, no matter where the formula is copied.</t>
    </r>
  </si>
  <si>
    <t xml:space="preserve">E.g. We have sales data for 2 products A and B for each quarter Q1, Q2, Q3, Q4. We need to get the yearly total sales for each product (Q1+Q2+Q3+Q4). For the product A, the total yearly sales is calculated using the formula = B6+C6+D6+E6 and store it in F6. If we copy the formula to the next product B by selecting the cell F6 and dragging it down, the referenced cells in the formula for product B change accordingly based on the new position. </t>
  </si>
  <si>
    <t>E.g. For the sales data given, we need to calculate the sales percentage contribution for each product in comparison to the total for the year. First, we need to calculate the total sales with the formula =F6+F7 and store the total in F8. Next, the percentage contribution for product A is calculated as =F6/$F$8. $F$8 fixes both the column and row references so the cell containing the total is locked when the formula is copied to the cell for product B.</t>
  </si>
  <si>
    <t>Q1</t>
  </si>
  <si>
    <t>Q2</t>
  </si>
  <si>
    <t>Q3</t>
  </si>
  <si>
    <t>Q4</t>
  </si>
  <si>
    <t>Total Sales</t>
  </si>
  <si>
    <t xml:space="preserve">% </t>
  </si>
  <si>
    <t>A</t>
  </si>
  <si>
    <t>B</t>
  </si>
  <si>
    <t>Q1 %</t>
  </si>
  <si>
    <t>Q2 %</t>
  </si>
  <si>
    <t>Q3 %</t>
  </si>
  <si>
    <t>Q4 %</t>
  </si>
  <si>
    <r>
      <rPr>
        <rFont val="Arial"/>
        <b/>
        <color theme="1"/>
      </rPr>
      <t>Mixed cell references</t>
    </r>
    <r>
      <rPr>
        <rFont val="Arial"/>
        <color theme="1"/>
      </rPr>
      <t xml:space="preserve"> have dollar signs attached to either the column or the row in a reference but not both. It locks either the column or the row but allows the other part to change.</t>
    </r>
  </si>
  <si>
    <t>E.g. Given the above dataset: we need to calculate the percentage contribution of each quarter for each product and see which quarters have the most sales and which quarter will have the least sales for each product. For product A, Q1 % is calculated as =B6/$F6. The Total sales column is fixed with the dollar symbol but the row reference changes as we calculate the quaterly sales % for product B.</t>
  </si>
  <si>
    <t>Q2) Write a formula to calculate the total sales of Car and Bicyle only.</t>
  </si>
  <si>
    <t>Vehicle</t>
  </si>
  <si>
    <t>Price</t>
  </si>
  <si>
    <t>Car</t>
  </si>
  <si>
    <t>Bicycle</t>
  </si>
  <si>
    <t>Auto-Rickshaw</t>
  </si>
  <si>
    <t>Use the VLOOKUP to fetch the sales for car and bicycle only and then sum them up
= VLOOKUP("Car",$A$4:$B$6,2,FALSE) + VLOOKUP("Bicycle",$A$4:$B$6,2,FALSE)</t>
  </si>
  <si>
    <t>Q3) Using the data below, write a formula to calculate the average sales of items priced above 100 but less than 300.</t>
  </si>
  <si>
    <t>Item</t>
  </si>
  <si>
    <t>Sales</t>
  </si>
  <si>
    <t>Item A</t>
  </si>
  <si>
    <t>Item B</t>
  </si>
  <si>
    <t>Item C</t>
  </si>
  <si>
    <t>Use the AVERAGEIFS():
= AVERAGEIFS($C$4:$C$6,$B$4:$B$6,"&gt;100",$B$4:$B$6,"&lt;300")</t>
  </si>
  <si>
    <t>Q4) Count how many customer names are recorded.</t>
  </si>
  <si>
    <t>Q5) Calculate the Total Sales for each row using a formula.</t>
  </si>
  <si>
    <t>Q6) Calculate the total sales of Notebooks in the North region only.</t>
  </si>
  <si>
    <t>Use COUNT():
= COUNTA($B$5:$B$54)</t>
  </si>
  <si>
    <t>Use Total Sales = Quantity * UnitPrice : For the first record (1001, Amit Sharma) - Total Sales =$E5*$F5</t>
  </si>
  <si>
    <t>Use SUMIFS():
= SUMIFS($H$5:$H$54,$C$5:$C$54,"North",$D$5:$D$54,"Notebook")</t>
  </si>
  <si>
    <t>OrderID</t>
  </si>
  <si>
    <t>CustomerName</t>
  </si>
  <si>
    <t>Region</t>
  </si>
  <si>
    <t>Product</t>
  </si>
  <si>
    <t>Quantity</t>
  </si>
  <si>
    <t>UnitPrice</t>
  </si>
  <si>
    <t>OrderDate</t>
  </si>
  <si>
    <t>Total Sales per product</t>
  </si>
  <si>
    <t>Amit Sharma</t>
  </si>
  <si>
    <t>North</t>
  </si>
  <si>
    <t>Notebook</t>
  </si>
  <si>
    <t>Neha Verma</t>
  </si>
  <si>
    <t>South</t>
  </si>
  <si>
    <t>Pen</t>
  </si>
  <si>
    <t>Rahul Singh</t>
  </si>
  <si>
    <t>East</t>
  </si>
  <si>
    <t>Marker</t>
  </si>
  <si>
    <t>Pooja Mehta</t>
  </si>
  <si>
    <t>West</t>
  </si>
  <si>
    <t>Pencil</t>
  </si>
  <si>
    <t>Ankit Jain</t>
  </si>
  <si>
    <t>Eraser</t>
  </si>
  <si>
    <t>Sneha Patel</t>
  </si>
  <si>
    <t>Vikas Gupta</t>
  </si>
  <si>
    <t>13-01-2024</t>
  </si>
  <si>
    <t>Q7) Create a column chart showing total sales by product.</t>
  </si>
  <si>
    <t>Meera Nair</t>
  </si>
  <si>
    <t>15-01-2024</t>
  </si>
  <si>
    <r>
      <rPr>
        <rFont val="Arial"/>
        <color theme="1"/>
      </rPr>
      <t>Step1: Copy and paste the</t>
    </r>
    <r>
      <rPr>
        <rFont val="Arial"/>
        <b/>
        <color theme="1"/>
      </rPr>
      <t xml:space="preserve"> Product(J4:J9)</t>
    </r>
    <r>
      <rPr>
        <rFont val="Arial"/>
        <color theme="1"/>
      </rPr>
      <t xml:space="preserve"> column</t>
    </r>
  </si>
  <si>
    <t>Anjali Rao</t>
  </si>
  <si>
    <t>17-01-2024</t>
  </si>
  <si>
    <t xml:space="preserve">Step2: Data -&gt; Remove duplicates </t>
  </si>
  <si>
    <t>Manoj Das</t>
  </si>
  <si>
    <t>18-01-2024</t>
  </si>
  <si>
    <r>
      <rPr>
        <rFont val="Arial"/>
        <color theme="1"/>
      </rPr>
      <t xml:space="preserve">Step3: Calculate </t>
    </r>
    <r>
      <rPr>
        <rFont val="Arial"/>
        <b/>
        <color theme="1"/>
      </rPr>
      <t xml:space="preserve">Total Sales per product(K4:K9) </t>
    </r>
    <r>
      <rPr>
        <rFont val="Arial"/>
        <color theme="1"/>
      </rPr>
      <t>- 
E.g. = SUMIF($D$5:$D$54,$J5,$H$5:$H$54)</t>
    </r>
  </si>
  <si>
    <t>Ritika Sen</t>
  </si>
  <si>
    <t>19-01-2024</t>
  </si>
  <si>
    <t>Step4: Create a column chart on the two columns</t>
  </si>
  <si>
    <t>Karan Malhotra</t>
  </si>
  <si>
    <t>20-01-2024</t>
  </si>
  <si>
    <t>Aryan Joshi</t>
  </si>
  <si>
    <t>22-01-2024</t>
  </si>
  <si>
    <t>Q8) Insert a line chart showing daily sales trend.</t>
  </si>
  <si>
    <t>Divya Kapoor</t>
  </si>
  <si>
    <t>23-01-2024</t>
  </si>
  <si>
    <r>
      <rPr>
        <rFont val="Arial"/>
        <color theme="1"/>
      </rPr>
      <t xml:space="preserve">Create a line chart using the columns </t>
    </r>
    <r>
      <rPr>
        <rFont val="Arial"/>
        <b/>
        <color theme="1"/>
      </rPr>
      <t>OrderDate(G4:G54)</t>
    </r>
    <r>
      <rPr>
        <rFont val="Arial"/>
        <color theme="1"/>
      </rPr>
      <t xml:space="preserve"> and </t>
    </r>
    <r>
      <rPr>
        <rFont val="Arial"/>
        <b/>
        <color theme="1"/>
      </rPr>
      <t>Total Sales(H4:H54)</t>
    </r>
    <r>
      <rPr>
        <rFont val="Arial"/>
        <color theme="1"/>
      </rPr>
      <t xml:space="preserve"> </t>
    </r>
  </si>
  <si>
    <t>Sahil Arora</t>
  </si>
  <si>
    <t>24-01-2024</t>
  </si>
  <si>
    <t>Muskan Jain</t>
  </si>
  <si>
    <t>26-01-2024</t>
  </si>
  <si>
    <t>Rohan Gupta</t>
  </si>
  <si>
    <t>28-01-2024</t>
  </si>
  <si>
    <t>Nidhi Sharma</t>
  </si>
  <si>
    <t>29-01-2024</t>
  </si>
  <si>
    <t>Tarun Verma</t>
  </si>
  <si>
    <t>30-01-2024</t>
  </si>
  <si>
    <t>Simran Kaur</t>
  </si>
  <si>
    <t>Deepak Rao</t>
  </si>
  <si>
    <t>Payal Mehta</t>
  </si>
  <si>
    <t>Aditya Singh</t>
  </si>
  <si>
    <t>Shreya Nair</t>
  </si>
  <si>
    <t>Sanjay Kumar</t>
  </si>
  <si>
    <t>Aarti Sharma</t>
  </si>
  <si>
    <t>Rajesh Patel</t>
  </si>
  <si>
    <t>Preeti Joshi</t>
  </si>
  <si>
    <t>Anurag Mishra</t>
  </si>
  <si>
    <t>Sanya Kapoor</t>
  </si>
  <si>
    <t>13-02-2024</t>
  </si>
  <si>
    <t>Harsh Yadav</t>
  </si>
  <si>
    <t>14-02-2024</t>
  </si>
  <si>
    <t>Kajal Rani</t>
  </si>
  <si>
    <t>16-02-2024</t>
  </si>
  <si>
    <t>Varun Sharma</t>
  </si>
  <si>
    <t>17-02-2024</t>
  </si>
  <si>
    <t>Swati Arora</t>
  </si>
  <si>
    <t>18-02-2024</t>
  </si>
  <si>
    <t>Akhil Jain</t>
  </si>
  <si>
    <t>19-02-2024</t>
  </si>
  <si>
    <t>Priyanka Das</t>
  </si>
  <si>
    <t>21-02-2024</t>
  </si>
  <si>
    <t>Ravi Nair</t>
  </si>
  <si>
    <t>22-02-2024</t>
  </si>
  <si>
    <t>Komal Singh</t>
  </si>
  <si>
    <t>23-02-2024</t>
  </si>
  <si>
    <t>Ayesha Khan</t>
  </si>
  <si>
    <t>25-02-2024</t>
  </si>
  <si>
    <t>Arjun Mehta</t>
  </si>
  <si>
    <t>26-02-2024</t>
  </si>
  <si>
    <t>Sonali Gupta</t>
  </si>
  <si>
    <t>27-02-2024</t>
  </si>
  <si>
    <t>Neeraj Kapoor</t>
  </si>
  <si>
    <t>28-02-2024</t>
  </si>
  <si>
    <t>Shruti Sharma</t>
  </si>
  <si>
    <t>Yash Arora</t>
  </si>
  <si>
    <t>Manish Das</t>
  </si>
  <si>
    <t>Rupal Nair</t>
  </si>
  <si>
    <t>Sonia Verma</t>
  </si>
  <si>
    <t>Kunal Singh</t>
  </si>
  <si>
    <t>Ritika Jain</t>
  </si>
  <si>
    <t>Vivek Malhotra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</si>
</sst>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5">
    <font>
      <sz val="10.0"/>
      <color rgb="FF000000"/>
      <name val="Arial"/>
      <scheme val="minor"/>
    </font>
    <font>
      <color theme="1"/>
      <name val="Arial"/>
      <scheme val="minor"/>
    </font>
    <font>
      <b/>
      <sz val="11.0"/>
      <color theme="1"/>
      <name val="Calibri"/>
    </font>
    <font>
      <b/>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10" xfId="0" applyFont="1" applyNumberFormat="1"/>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vs. Product</a:t>
            </a:r>
          </a:p>
        </c:rich>
      </c:tx>
      <c:overlay val="0"/>
    </c:title>
    <c:plotArea>
      <c:layout/>
      <c:barChart>
        <c:barDir val="col"/>
        <c:ser>
          <c:idx val="0"/>
          <c:order val="0"/>
          <c:tx>
            <c:strRef>
              <c:f>'Q4,5,6,7,8'!$K$4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'Q4,5,6,7,8'!$J$5:$J$9</c:f>
            </c:strRef>
          </c:cat>
          <c:val>
            <c:numRef>
              <c:f>'Q4,5,6,7,8'!$K$5:$K$9</c:f>
              <c:numCache/>
            </c:numRef>
          </c:val>
        </c:ser>
        <c:axId val="205485580"/>
        <c:axId val="1487640281"/>
      </c:barChart>
      <c:catAx>
        <c:axId val="205485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1487640281"/>
      </c:catAx>
      <c:valAx>
        <c:axId val="1487640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48558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Daily Sales Trend</a:t>
            </a:r>
          </a:p>
        </c:rich>
      </c:tx>
      <c:overlay val="0"/>
    </c:title>
    <c:plotArea>
      <c:layout/>
      <c:lineChart>
        <c:varyColors val="0"/>
        <c:ser>
          <c:idx val="0"/>
          <c:order val="0"/>
          <c:spPr>
            <a:ln cmpd="sng">
              <a:solidFill>
                <a:srgbClr val="4285F4"/>
              </a:solidFill>
            </a:ln>
          </c:spPr>
          <c:marker>
            <c:symbol val="none"/>
          </c:marker>
          <c:cat>
            <c:strRef>
              <c:f>'Q4,5,6,7,8'!$G$5:$G$54</c:f>
            </c:strRef>
          </c:cat>
          <c:val>
            <c:numRef>
              <c:f>'Q4,5,6,7,8'!$H$5:$H$54</c:f>
              <c:numCache/>
            </c:numRef>
          </c:val>
          <c:smooth val="0"/>
        </c:ser>
        <c:axId val="1518177154"/>
        <c:axId val="189164354"/>
      </c:lineChart>
      <c:catAx>
        <c:axId val="15181771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9164354"/>
      </c:catAx>
      <c:valAx>
        <c:axId val="189164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8177154"/>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238125</xdr:colOff>
      <xdr:row>3</xdr:row>
      <xdr:rowOff>219075</xdr:rowOff>
    </xdr:from>
    <xdr:ext cx="4152900" cy="2571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295275</xdr:colOff>
      <xdr:row>16</xdr:row>
      <xdr:rowOff>57150</xdr:rowOff>
    </xdr:from>
    <xdr:ext cx="4152900" cy="2438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5"/>
    <col customWidth="1" min="3" max="3" width="6.88"/>
    <col customWidth="1" min="4" max="4" width="7.75"/>
    <col customWidth="1" min="5" max="5" width="8.38"/>
  </cols>
  <sheetData>
    <row r="1">
      <c r="A1" s="1" t="s">
        <v>0</v>
      </c>
    </row>
    <row r="4">
      <c r="A4" s="2" t="s">
        <v>1</v>
      </c>
    </row>
    <row r="8">
      <c r="A8" s="2" t="s">
        <v>2</v>
      </c>
      <c r="H8" s="2" t="s">
        <v>3</v>
      </c>
    </row>
    <row r="13">
      <c r="A13" s="2" t="s">
        <v>4</v>
      </c>
      <c r="H13" s="2" t="s">
        <v>5</v>
      </c>
    </row>
    <row r="20">
      <c r="A20" s="2"/>
      <c r="B20" s="2"/>
      <c r="C20" s="2"/>
      <c r="D20" s="2"/>
      <c r="E20" s="2"/>
      <c r="F20" s="2"/>
      <c r="G20" s="2"/>
      <c r="H20" s="2"/>
      <c r="I20" s="2"/>
      <c r="J20" s="2"/>
      <c r="K20" s="2"/>
      <c r="L20" s="2"/>
    </row>
    <row r="21">
      <c r="A21" s="2"/>
      <c r="B21" s="1" t="s">
        <v>6</v>
      </c>
      <c r="C21" s="1" t="s">
        <v>7</v>
      </c>
      <c r="D21" s="1" t="s">
        <v>8</v>
      </c>
      <c r="E21" s="1" t="s">
        <v>9</v>
      </c>
      <c r="F21" s="1" t="s">
        <v>10</v>
      </c>
      <c r="G21" s="1" t="s">
        <v>11</v>
      </c>
    </row>
    <row r="22">
      <c r="A22" s="2" t="s">
        <v>12</v>
      </c>
      <c r="B22" s="1">
        <v>1000.0</v>
      </c>
      <c r="C22" s="1">
        <v>2000.0</v>
      </c>
      <c r="D22" s="1">
        <v>5000.0</v>
      </c>
      <c r="E22" s="1">
        <v>3000.0</v>
      </c>
      <c r="F22" s="3">
        <f t="shared" ref="F22:F23" si="1">B22+C22+D22+E22</f>
        <v>11000</v>
      </c>
      <c r="G22" s="4">
        <f t="shared" ref="G22:G24" si="2">F22/$F$24</f>
        <v>0.6358381503</v>
      </c>
    </row>
    <row r="23">
      <c r="A23" s="2" t="s">
        <v>13</v>
      </c>
      <c r="B23" s="1">
        <v>1500.0</v>
      </c>
      <c r="C23" s="1">
        <v>2500.0</v>
      </c>
      <c r="D23" s="1">
        <v>1400.0</v>
      </c>
      <c r="E23" s="1">
        <v>900.0</v>
      </c>
      <c r="F23" s="3">
        <f t="shared" si="1"/>
        <v>6300</v>
      </c>
      <c r="G23" s="4">
        <f t="shared" si="2"/>
        <v>0.3641618497</v>
      </c>
    </row>
    <row r="24">
      <c r="A24" s="1"/>
      <c r="F24" s="3">
        <f>F22+F23</f>
        <v>17300</v>
      </c>
      <c r="G24" s="4">
        <f t="shared" si="2"/>
        <v>1</v>
      </c>
    </row>
    <row r="26">
      <c r="B26" s="1" t="s">
        <v>14</v>
      </c>
      <c r="C26" s="1" t="s">
        <v>15</v>
      </c>
      <c r="D26" s="1" t="s">
        <v>16</v>
      </c>
      <c r="E26" s="1" t="s">
        <v>17</v>
      </c>
    </row>
    <row r="27">
      <c r="A27" s="1" t="s">
        <v>12</v>
      </c>
      <c r="B27" s="4">
        <f t="shared" ref="B27:E27" si="3">B22/$F22</f>
        <v>0.09090909091</v>
      </c>
      <c r="C27" s="4">
        <f t="shared" si="3"/>
        <v>0.1818181818</v>
      </c>
      <c r="D27" s="4">
        <f t="shared" si="3"/>
        <v>0.4545454545</v>
      </c>
      <c r="E27" s="4">
        <f t="shared" si="3"/>
        <v>0.2727272727</v>
      </c>
      <c r="F27" s="4">
        <f t="shared" ref="F27:F28" si="5">$B27+$C27+$D27+$E27</f>
        <v>1</v>
      </c>
    </row>
    <row r="28">
      <c r="A28" s="1" t="s">
        <v>13</v>
      </c>
      <c r="B28" s="4">
        <f t="shared" ref="B28:E28" si="4">B23/$F23</f>
        <v>0.2380952381</v>
      </c>
      <c r="C28" s="4">
        <f t="shared" si="4"/>
        <v>0.3968253968</v>
      </c>
      <c r="D28" s="4">
        <f t="shared" si="4"/>
        <v>0.2222222222</v>
      </c>
      <c r="E28" s="4">
        <f t="shared" si="4"/>
        <v>0.1428571429</v>
      </c>
      <c r="F28" s="4">
        <f t="shared" si="5"/>
        <v>1</v>
      </c>
    </row>
    <row r="29">
      <c r="H29" s="2" t="s">
        <v>18</v>
      </c>
    </row>
    <row r="33">
      <c r="H33" s="2" t="s">
        <v>19</v>
      </c>
    </row>
  </sheetData>
  <mergeCells count="8">
    <mergeCell ref="A13:G19"/>
    <mergeCell ref="H13:N19"/>
    <mergeCell ref="A4:G7"/>
    <mergeCell ref="A8:G12"/>
    <mergeCell ref="H8:N12"/>
    <mergeCell ref="H29:N32"/>
    <mergeCell ref="H33:N39"/>
    <mergeCell ref="A1:I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5" max="5" width="47.88"/>
  </cols>
  <sheetData>
    <row r="1">
      <c r="A1" s="1" t="s">
        <v>20</v>
      </c>
    </row>
    <row r="5">
      <c r="A5" s="1" t="s">
        <v>21</v>
      </c>
      <c r="B5" s="1" t="s">
        <v>22</v>
      </c>
    </row>
    <row r="6">
      <c r="A6" s="1" t="s">
        <v>23</v>
      </c>
      <c r="B6" s="1">
        <v>500000.0</v>
      </c>
    </row>
    <row r="7">
      <c r="A7" s="1" t="s">
        <v>24</v>
      </c>
      <c r="B7" s="1">
        <v>10500.0</v>
      </c>
    </row>
    <row r="8">
      <c r="A8" s="1" t="s">
        <v>25</v>
      </c>
      <c r="B8" s="1">
        <v>25000.0</v>
      </c>
    </row>
    <row r="10">
      <c r="B10" s="1">
        <f> VLOOKUP("Car",$A$6:$B$8,2,FALSE) + VLOOKUP("Bicycle",$A$6:$B$8,2,FALSE)</f>
        <v>510500</v>
      </c>
      <c r="C10" s="2" t="s">
        <v>26</v>
      </c>
    </row>
  </sheetData>
  <mergeCells count="2">
    <mergeCell ref="C10:E14"/>
    <mergeCell ref="A1:D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5"/>
  </cols>
  <sheetData>
    <row r="1">
      <c r="A1" s="1" t="s">
        <v>27</v>
      </c>
    </row>
    <row r="5">
      <c r="A5" s="1" t="s">
        <v>28</v>
      </c>
      <c r="B5" s="1" t="s">
        <v>22</v>
      </c>
      <c r="C5" s="1" t="s">
        <v>29</v>
      </c>
    </row>
    <row r="6">
      <c r="A6" s="1" t="s">
        <v>30</v>
      </c>
      <c r="B6" s="1">
        <v>90.0</v>
      </c>
      <c r="C6" s="1">
        <v>1000.0</v>
      </c>
    </row>
    <row r="7">
      <c r="A7" s="1" t="s">
        <v>31</v>
      </c>
      <c r="B7" s="1">
        <v>150.0</v>
      </c>
      <c r="C7" s="1">
        <v>1200.0</v>
      </c>
    </row>
    <row r="8">
      <c r="A8" s="1" t="s">
        <v>32</v>
      </c>
      <c r="B8" s="1">
        <v>250.0</v>
      </c>
      <c r="C8" s="1">
        <v>1500.0</v>
      </c>
    </row>
    <row r="10">
      <c r="C10" s="3">
        <f> AVERAGEIFS($C$6:$C$8,$B$6:$B$8,"&gt;100",$B$6:$B$8,"&lt;300")</f>
        <v>1350</v>
      </c>
      <c r="D10" s="2" t="s">
        <v>33</v>
      </c>
    </row>
  </sheetData>
  <mergeCells count="2">
    <mergeCell ref="A1:G3"/>
    <mergeCell ref="D10:G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63"/>
    <col customWidth="1" min="11" max="11" width="21.13"/>
    <col customWidth="1" min="13" max="13" width="26.63"/>
    <col customWidth="1" min="14" max="14" width="29.38"/>
  </cols>
  <sheetData>
    <row r="1">
      <c r="A1" s="1" t="s">
        <v>34</v>
      </c>
      <c r="F1" s="1" t="s">
        <v>35</v>
      </c>
      <c r="J1" s="5"/>
      <c r="K1" s="1" t="s">
        <v>36</v>
      </c>
    </row>
    <row r="2">
      <c r="A2" s="3">
        <f> COUNTA($B$5:$B$54)</f>
        <v>50</v>
      </c>
      <c r="C2" s="1" t="s">
        <v>37</v>
      </c>
      <c r="F2" s="1" t="s">
        <v>38</v>
      </c>
      <c r="K2" s="3">
        <f> SUMIFS($H$5:$H$54,$C$5:$C$54,"North",$D$5:$D$54,"Notebook")</f>
        <v>2900</v>
      </c>
      <c r="L2" s="1" t="s">
        <v>39</v>
      </c>
    </row>
    <row r="3">
      <c r="A3" s="5"/>
      <c r="B3" s="5"/>
      <c r="C3" s="5"/>
      <c r="D3" s="5"/>
      <c r="E3" s="5"/>
      <c r="F3" s="5"/>
      <c r="G3" s="5"/>
      <c r="H3" s="6"/>
      <c r="J3" s="5"/>
      <c r="K3" s="6"/>
    </row>
    <row r="4">
      <c r="A4" s="5" t="s">
        <v>40</v>
      </c>
      <c r="B4" s="5" t="s">
        <v>41</v>
      </c>
      <c r="C4" s="5" t="s">
        <v>42</v>
      </c>
      <c r="D4" s="5" t="s">
        <v>43</v>
      </c>
      <c r="E4" s="5" t="s">
        <v>44</v>
      </c>
      <c r="F4" s="5" t="s">
        <v>45</v>
      </c>
      <c r="G4" s="5" t="s">
        <v>46</v>
      </c>
      <c r="H4" s="6" t="s">
        <v>10</v>
      </c>
      <c r="J4" s="5" t="s">
        <v>43</v>
      </c>
      <c r="K4" s="6" t="s">
        <v>47</v>
      </c>
    </row>
    <row r="5">
      <c r="A5" s="7">
        <v>1001.0</v>
      </c>
      <c r="B5" s="8" t="s">
        <v>48</v>
      </c>
      <c r="C5" s="8" t="s">
        <v>49</v>
      </c>
      <c r="D5" s="8" t="s">
        <v>50</v>
      </c>
      <c r="E5" s="7">
        <v>10.0</v>
      </c>
      <c r="F5" s="7">
        <v>50.0</v>
      </c>
      <c r="G5" s="9">
        <v>45413.0</v>
      </c>
      <c r="H5" s="3">
        <f t="shared" ref="H5:H54" si="1">$E5*$F5</f>
        <v>500</v>
      </c>
      <c r="J5" s="8" t="s">
        <v>50</v>
      </c>
      <c r="K5" s="3">
        <f t="shared" ref="K5:K9" si="2"> SUMIF($D$5:$D$54,$J5,$H$5:$H$54)</f>
        <v>7550</v>
      </c>
    </row>
    <row r="6">
      <c r="A6" s="7">
        <v>1002.0</v>
      </c>
      <c r="B6" s="8" t="s">
        <v>51</v>
      </c>
      <c r="C6" s="8" t="s">
        <v>52</v>
      </c>
      <c r="D6" s="8" t="s">
        <v>53</v>
      </c>
      <c r="E6" s="7">
        <v>20.0</v>
      </c>
      <c r="F6" s="7">
        <v>10.0</v>
      </c>
      <c r="G6" s="9">
        <v>45444.0</v>
      </c>
      <c r="H6" s="3">
        <f t="shared" si="1"/>
        <v>200</v>
      </c>
      <c r="J6" s="8" t="s">
        <v>53</v>
      </c>
      <c r="K6" s="3">
        <f t="shared" si="2"/>
        <v>2180</v>
      </c>
    </row>
    <row r="7">
      <c r="A7" s="7">
        <v>1003.0</v>
      </c>
      <c r="B7" s="8" t="s">
        <v>54</v>
      </c>
      <c r="C7" s="8" t="s">
        <v>55</v>
      </c>
      <c r="D7" s="8" t="s">
        <v>56</v>
      </c>
      <c r="E7" s="7">
        <v>15.0</v>
      </c>
      <c r="F7" s="7">
        <v>25.0</v>
      </c>
      <c r="G7" s="9">
        <v>45474.0</v>
      </c>
      <c r="H7" s="3">
        <f t="shared" si="1"/>
        <v>375</v>
      </c>
      <c r="J7" s="8" t="s">
        <v>56</v>
      </c>
      <c r="K7" s="3">
        <f t="shared" si="2"/>
        <v>3650</v>
      </c>
    </row>
    <row r="8">
      <c r="A8" s="7">
        <v>1004.0</v>
      </c>
      <c r="B8" s="8" t="s">
        <v>57</v>
      </c>
      <c r="C8" s="8" t="s">
        <v>58</v>
      </c>
      <c r="D8" s="8" t="s">
        <v>50</v>
      </c>
      <c r="E8" s="7">
        <v>5.0</v>
      </c>
      <c r="F8" s="7">
        <v>50.0</v>
      </c>
      <c r="G8" s="9">
        <v>45505.0</v>
      </c>
      <c r="H8" s="3">
        <f t="shared" si="1"/>
        <v>250</v>
      </c>
      <c r="J8" s="8" t="s">
        <v>59</v>
      </c>
      <c r="K8" s="3">
        <f t="shared" si="2"/>
        <v>1235</v>
      </c>
    </row>
    <row r="9">
      <c r="A9" s="7">
        <v>1005.0</v>
      </c>
      <c r="B9" s="8" t="s">
        <v>60</v>
      </c>
      <c r="C9" s="8" t="s">
        <v>49</v>
      </c>
      <c r="D9" s="8" t="s">
        <v>59</v>
      </c>
      <c r="E9" s="7">
        <v>30.0</v>
      </c>
      <c r="F9" s="7">
        <v>5.0</v>
      </c>
      <c r="G9" s="9">
        <v>45566.0</v>
      </c>
      <c r="H9" s="3">
        <f t="shared" si="1"/>
        <v>150</v>
      </c>
      <c r="J9" s="8" t="s">
        <v>61</v>
      </c>
      <c r="K9" s="3">
        <f t="shared" si="2"/>
        <v>1928</v>
      </c>
    </row>
    <row r="10">
      <c r="A10" s="7">
        <v>1006.0</v>
      </c>
      <c r="B10" s="8" t="s">
        <v>62</v>
      </c>
      <c r="C10" s="8" t="s">
        <v>52</v>
      </c>
      <c r="D10" s="8" t="s">
        <v>50</v>
      </c>
      <c r="E10" s="7">
        <v>12.0</v>
      </c>
      <c r="F10" s="7">
        <v>50.0</v>
      </c>
      <c r="G10" s="9">
        <v>45597.0</v>
      </c>
      <c r="H10" s="3">
        <f t="shared" si="1"/>
        <v>600</v>
      </c>
    </row>
    <row r="11">
      <c r="A11" s="7">
        <v>1007.0</v>
      </c>
      <c r="B11" s="8" t="s">
        <v>63</v>
      </c>
      <c r="C11" s="8" t="s">
        <v>55</v>
      </c>
      <c r="D11" s="8" t="s">
        <v>61</v>
      </c>
      <c r="E11" s="7">
        <v>25.0</v>
      </c>
      <c r="F11" s="7">
        <v>8.0</v>
      </c>
      <c r="G11" s="7" t="s">
        <v>64</v>
      </c>
      <c r="H11" s="3">
        <f t="shared" si="1"/>
        <v>200</v>
      </c>
      <c r="J11" s="1" t="s">
        <v>65</v>
      </c>
    </row>
    <row r="12">
      <c r="A12" s="7">
        <v>1008.0</v>
      </c>
      <c r="B12" s="8" t="s">
        <v>66</v>
      </c>
      <c r="C12" s="8" t="s">
        <v>58</v>
      </c>
      <c r="D12" s="8" t="s">
        <v>53</v>
      </c>
      <c r="E12" s="7">
        <v>18.0</v>
      </c>
      <c r="F12" s="7">
        <v>10.0</v>
      </c>
      <c r="G12" s="7" t="s">
        <v>67</v>
      </c>
      <c r="H12" s="3">
        <f t="shared" si="1"/>
        <v>180</v>
      </c>
      <c r="J12" s="1" t="s">
        <v>68</v>
      </c>
    </row>
    <row r="13">
      <c r="A13" s="7">
        <v>1009.0</v>
      </c>
      <c r="B13" s="8" t="s">
        <v>69</v>
      </c>
      <c r="C13" s="8" t="s">
        <v>49</v>
      </c>
      <c r="D13" s="8" t="s">
        <v>56</v>
      </c>
      <c r="E13" s="7">
        <v>22.0</v>
      </c>
      <c r="F13" s="7">
        <v>25.0</v>
      </c>
      <c r="G13" s="7" t="s">
        <v>70</v>
      </c>
      <c r="H13" s="3">
        <f t="shared" si="1"/>
        <v>550</v>
      </c>
      <c r="J13" s="1" t="s">
        <v>71</v>
      </c>
    </row>
    <row r="14">
      <c r="A14" s="7">
        <v>1010.0</v>
      </c>
      <c r="B14" s="8" t="s">
        <v>72</v>
      </c>
      <c r="C14" s="8" t="s">
        <v>52</v>
      </c>
      <c r="D14" s="8" t="s">
        <v>50</v>
      </c>
      <c r="E14" s="7">
        <v>8.0</v>
      </c>
      <c r="F14" s="7">
        <v>50.0</v>
      </c>
      <c r="G14" s="7" t="s">
        <v>73</v>
      </c>
      <c r="H14" s="3">
        <f t="shared" si="1"/>
        <v>400</v>
      </c>
      <c r="J14" s="1" t="s">
        <v>74</v>
      </c>
    </row>
    <row r="15">
      <c r="A15" s="7">
        <v>1011.0</v>
      </c>
      <c r="B15" s="8" t="s">
        <v>75</v>
      </c>
      <c r="C15" s="8" t="s">
        <v>55</v>
      </c>
      <c r="D15" s="8" t="s">
        <v>59</v>
      </c>
      <c r="E15" s="7">
        <v>40.0</v>
      </c>
      <c r="F15" s="7">
        <v>5.0</v>
      </c>
      <c r="G15" s="7" t="s">
        <v>76</v>
      </c>
      <c r="H15" s="3">
        <f t="shared" si="1"/>
        <v>200</v>
      </c>
      <c r="J15" s="1" t="s">
        <v>77</v>
      </c>
    </row>
    <row r="16">
      <c r="A16" s="7">
        <v>1012.0</v>
      </c>
      <c r="B16" s="8" t="s">
        <v>78</v>
      </c>
      <c r="C16" s="8" t="s">
        <v>58</v>
      </c>
      <c r="D16" s="8" t="s">
        <v>61</v>
      </c>
      <c r="E16" s="7">
        <v>35.0</v>
      </c>
      <c r="F16" s="7">
        <v>8.0</v>
      </c>
      <c r="G16" s="7" t="s">
        <v>79</v>
      </c>
      <c r="H16" s="3">
        <f t="shared" si="1"/>
        <v>280</v>
      </c>
    </row>
    <row r="17">
      <c r="A17" s="7">
        <v>1013.0</v>
      </c>
      <c r="B17" s="8" t="s">
        <v>80</v>
      </c>
      <c r="C17" s="8" t="s">
        <v>49</v>
      </c>
      <c r="D17" s="8" t="s">
        <v>50</v>
      </c>
      <c r="E17" s="7">
        <v>14.0</v>
      </c>
      <c r="F17" s="7">
        <v>50.0</v>
      </c>
      <c r="G17" s="7" t="s">
        <v>81</v>
      </c>
      <c r="H17" s="3">
        <f t="shared" si="1"/>
        <v>700</v>
      </c>
      <c r="J17" s="1" t="s">
        <v>82</v>
      </c>
    </row>
    <row r="18">
      <c r="A18" s="7">
        <v>1014.0</v>
      </c>
      <c r="B18" s="8" t="s">
        <v>83</v>
      </c>
      <c r="C18" s="8" t="s">
        <v>52</v>
      </c>
      <c r="D18" s="8" t="s">
        <v>53</v>
      </c>
      <c r="E18" s="7">
        <v>28.0</v>
      </c>
      <c r="F18" s="7">
        <v>10.0</v>
      </c>
      <c r="G18" s="7" t="s">
        <v>84</v>
      </c>
      <c r="H18" s="3">
        <f t="shared" si="1"/>
        <v>280</v>
      </c>
      <c r="J18" s="1" t="s">
        <v>85</v>
      </c>
    </row>
    <row r="19">
      <c r="A19" s="7">
        <v>1015.0</v>
      </c>
      <c r="B19" s="8" t="s">
        <v>86</v>
      </c>
      <c r="C19" s="8" t="s">
        <v>55</v>
      </c>
      <c r="D19" s="8" t="s">
        <v>56</v>
      </c>
      <c r="E19" s="7">
        <v>12.0</v>
      </c>
      <c r="F19" s="7">
        <v>25.0</v>
      </c>
      <c r="G19" s="7" t="s">
        <v>87</v>
      </c>
      <c r="H19" s="3">
        <f t="shared" si="1"/>
        <v>300</v>
      </c>
    </row>
    <row r="20">
      <c r="A20" s="7">
        <v>1016.0</v>
      </c>
      <c r="B20" s="8" t="s">
        <v>88</v>
      </c>
      <c r="C20" s="8" t="s">
        <v>58</v>
      </c>
      <c r="D20" s="8" t="s">
        <v>59</v>
      </c>
      <c r="E20" s="7">
        <v>25.0</v>
      </c>
      <c r="F20" s="7">
        <v>5.0</v>
      </c>
      <c r="G20" s="7" t="s">
        <v>89</v>
      </c>
      <c r="H20" s="3">
        <f t="shared" si="1"/>
        <v>125</v>
      </c>
    </row>
    <row r="21">
      <c r="A21" s="7">
        <v>1017.0</v>
      </c>
      <c r="B21" s="8" t="s">
        <v>90</v>
      </c>
      <c r="C21" s="8" t="s">
        <v>49</v>
      </c>
      <c r="D21" s="8" t="s">
        <v>61</v>
      </c>
      <c r="E21" s="7">
        <v>20.0</v>
      </c>
      <c r="F21" s="7">
        <v>8.0</v>
      </c>
      <c r="G21" s="7" t="s">
        <v>91</v>
      </c>
      <c r="H21" s="3">
        <f t="shared" si="1"/>
        <v>160</v>
      </c>
    </row>
    <row r="22">
      <c r="A22" s="7">
        <v>1018.0</v>
      </c>
      <c r="B22" s="8" t="s">
        <v>92</v>
      </c>
      <c r="C22" s="8" t="s">
        <v>52</v>
      </c>
      <c r="D22" s="8" t="s">
        <v>50</v>
      </c>
      <c r="E22" s="7">
        <v>10.0</v>
      </c>
      <c r="F22" s="7">
        <v>50.0</v>
      </c>
      <c r="G22" s="7" t="s">
        <v>93</v>
      </c>
      <c r="H22" s="3">
        <f t="shared" si="1"/>
        <v>500</v>
      </c>
    </row>
    <row r="23">
      <c r="A23" s="7">
        <v>1019.0</v>
      </c>
      <c r="B23" s="8" t="s">
        <v>94</v>
      </c>
      <c r="C23" s="8" t="s">
        <v>55</v>
      </c>
      <c r="D23" s="8" t="s">
        <v>53</v>
      </c>
      <c r="E23" s="7">
        <v>15.0</v>
      </c>
      <c r="F23" s="7">
        <v>10.0</v>
      </c>
      <c r="G23" s="7" t="s">
        <v>95</v>
      </c>
      <c r="H23" s="3">
        <f t="shared" si="1"/>
        <v>150</v>
      </c>
    </row>
    <row r="24">
      <c r="A24" s="7">
        <v>1020.0</v>
      </c>
      <c r="B24" s="8" t="s">
        <v>96</v>
      </c>
      <c r="C24" s="8" t="s">
        <v>58</v>
      </c>
      <c r="D24" s="8" t="s">
        <v>56</v>
      </c>
      <c r="E24" s="7">
        <v>18.0</v>
      </c>
      <c r="F24" s="7">
        <v>25.0</v>
      </c>
      <c r="G24" s="9">
        <v>45293.0</v>
      </c>
      <c r="H24" s="3">
        <f t="shared" si="1"/>
        <v>450</v>
      </c>
    </row>
    <row r="25">
      <c r="A25" s="7">
        <v>1021.0</v>
      </c>
      <c r="B25" s="8" t="s">
        <v>97</v>
      </c>
      <c r="C25" s="8" t="s">
        <v>49</v>
      </c>
      <c r="D25" s="8" t="s">
        <v>50</v>
      </c>
      <c r="E25" s="7">
        <v>9.0</v>
      </c>
      <c r="F25" s="7">
        <v>50.0</v>
      </c>
      <c r="G25" s="9">
        <v>45324.0</v>
      </c>
      <c r="H25" s="3">
        <f t="shared" si="1"/>
        <v>450</v>
      </c>
    </row>
    <row r="26">
      <c r="A26" s="7">
        <v>1022.0</v>
      </c>
      <c r="B26" s="8" t="s">
        <v>98</v>
      </c>
      <c r="C26" s="8" t="s">
        <v>52</v>
      </c>
      <c r="D26" s="8" t="s">
        <v>59</v>
      </c>
      <c r="E26" s="7">
        <v>35.0</v>
      </c>
      <c r="F26" s="7">
        <v>5.0</v>
      </c>
      <c r="G26" s="9">
        <v>45353.0</v>
      </c>
      <c r="H26" s="3">
        <f t="shared" si="1"/>
        <v>175</v>
      </c>
    </row>
    <row r="27">
      <c r="A27" s="7">
        <v>1023.0</v>
      </c>
      <c r="B27" s="8" t="s">
        <v>99</v>
      </c>
      <c r="C27" s="8" t="s">
        <v>55</v>
      </c>
      <c r="D27" s="8" t="s">
        <v>61</v>
      </c>
      <c r="E27" s="7">
        <v>30.0</v>
      </c>
      <c r="F27" s="7">
        <v>8.0</v>
      </c>
      <c r="G27" s="9">
        <v>45384.0</v>
      </c>
      <c r="H27" s="3">
        <f t="shared" si="1"/>
        <v>240</v>
      </c>
    </row>
    <row r="28">
      <c r="A28" s="7">
        <v>1024.0</v>
      </c>
      <c r="B28" s="8" t="s">
        <v>100</v>
      </c>
      <c r="C28" s="8" t="s">
        <v>58</v>
      </c>
      <c r="D28" s="8" t="s">
        <v>50</v>
      </c>
      <c r="E28" s="7">
        <v>11.0</v>
      </c>
      <c r="F28" s="7">
        <v>50.0</v>
      </c>
      <c r="G28" s="9">
        <v>45445.0</v>
      </c>
      <c r="H28" s="3">
        <f t="shared" si="1"/>
        <v>550</v>
      </c>
    </row>
    <row r="29">
      <c r="A29" s="7">
        <v>1025.0</v>
      </c>
      <c r="B29" s="8" t="s">
        <v>101</v>
      </c>
      <c r="C29" s="8" t="s">
        <v>49</v>
      </c>
      <c r="D29" s="8" t="s">
        <v>53</v>
      </c>
      <c r="E29" s="7">
        <v>14.0</v>
      </c>
      <c r="F29" s="7">
        <v>10.0</v>
      </c>
      <c r="G29" s="9">
        <v>45475.0</v>
      </c>
      <c r="H29" s="3">
        <f t="shared" si="1"/>
        <v>140</v>
      </c>
    </row>
    <row r="30">
      <c r="A30" s="7">
        <v>1026.0</v>
      </c>
      <c r="B30" s="8" t="s">
        <v>102</v>
      </c>
      <c r="C30" s="8" t="s">
        <v>52</v>
      </c>
      <c r="D30" s="8" t="s">
        <v>56</v>
      </c>
      <c r="E30" s="7">
        <v>16.0</v>
      </c>
      <c r="F30" s="7">
        <v>25.0</v>
      </c>
      <c r="G30" s="9">
        <v>45506.0</v>
      </c>
      <c r="H30" s="3">
        <f t="shared" si="1"/>
        <v>400</v>
      </c>
    </row>
    <row r="31">
      <c r="A31" s="7">
        <v>1027.0</v>
      </c>
      <c r="B31" s="8" t="s">
        <v>103</v>
      </c>
      <c r="C31" s="8" t="s">
        <v>55</v>
      </c>
      <c r="D31" s="8" t="s">
        <v>59</v>
      </c>
      <c r="E31" s="7">
        <v>22.0</v>
      </c>
      <c r="F31" s="7">
        <v>5.0</v>
      </c>
      <c r="G31" s="9">
        <v>45537.0</v>
      </c>
      <c r="H31" s="3">
        <f t="shared" si="1"/>
        <v>110</v>
      </c>
    </row>
    <row r="32">
      <c r="A32" s="7">
        <v>1028.0</v>
      </c>
      <c r="B32" s="8" t="s">
        <v>104</v>
      </c>
      <c r="C32" s="8" t="s">
        <v>58</v>
      </c>
      <c r="D32" s="8" t="s">
        <v>61</v>
      </c>
      <c r="E32" s="7">
        <v>27.0</v>
      </c>
      <c r="F32" s="7">
        <v>8.0</v>
      </c>
      <c r="G32" s="9">
        <v>45567.0</v>
      </c>
      <c r="H32" s="3">
        <f t="shared" si="1"/>
        <v>216</v>
      </c>
    </row>
    <row r="33">
      <c r="A33" s="7">
        <v>1029.0</v>
      </c>
      <c r="B33" s="8" t="s">
        <v>105</v>
      </c>
      <c r="C33" s="8" t="s">
        <v>49</v>
      </c>
      <c r="D33" s="8" t="s">
        <v>50</v>
      </c>
      <c r="E33" s="7">
        <v>13.0</v>
      </c>
      <c r="F33" s="7">
        <v>50.0</v>
      </c>
      <c r="G33" s="9">
        <v>45628.0</v>
      </c>
      <c r="H33" s="3">
        <f t="shared" si="1"/>
        <v>650</v>
      </c>
    </row>
    <row r="34">
      <c r="A34" s="7">
        <v>1030.0</v>
      </c>
      <c r="B34" s="8" t="s">
        <v>106</v>
      </c>
      <c r="C34" s="8" t="s">
        <v>52</v>
      </c>
      <c r="D34" s="8" t="s">
        <v>53</v>
      </c>
      <c r="E34" s="7">
        <v>32.0</v>
      </c>
      <c r="F34" s="7">
        <v>10.0</v>
      </c>
      <c r="G34" s="7" t="s">
        <v>107</v>
      </c>
      <c r="H34" s="3">
        <f t="shared" si="1"/>
        <v>320</v>
      </c>
    </row>
    <row r="35">
      <c r="A35" s="7">
        <v>1031.0</v>
      </c>
      <c r="B35" s="8" t="s">
        <v>108</v>
      </c>
      <c r="C35" s="8" t="s">
        <v>55</v>
      </c>
      <c r="D35" s="8" t="s">
        <v>56</v>
      </c>
      <c r="E35" s="7">
        <v>10.0</v>
      </c>
      <c r="F35" s="7">
        <v>25.0</v>
      </c>
      <c r="G35" s="7" t="s">
        <v>109</v>
      </c>
      <c r="H35" s="3">
        <f t="shared" si="1"/>
        <v>250</v>
      </c>
    </row>
    <row r="36">
      <c r="A36" s="7">
        <v>1032.0</v>
      </c>
      <c r="B36" s="8" t="s">
        <v>110</v>
      </c>
      <c r="C36" s="8" t="s">
        <v>58</v>
      </c>
      <c r="D36" s="8" t="s">
        <v>59</v>
      </c>
      <c r="E36" s="7">
        <v>18.0</v>
      </c>
      <c r="F36" s="7">
        <v>5.0</v>
      </c>
      <c r="G36" s="7" t="s">
        <v>111</v>
      </c>
      <c r="H36" s="3">
        <f t="shared" si="1"/>
        <v>90</v>
      </c>
    </row>
    <row r="37">
      <c r="A37" s="7">
        <v>1033.0</v>
      </c>
      <c r="B37" s="8" t="s">
        <v>112</v>
      </c>
      <c r="C37" s="8" t="s">
        <v>49</v>
      </c>
      <c r="D37" s="8" t="s">
        <v>61</v>
      </c>
      <c r="E37" s="7">
        <v>22.0</v>
      </c>
      <c r="F37" s="7">
        <v>8.0</v>
      </c>
      <c r="G37" s="7" t="s">
        <v>113</v>
      </c>
      <c r="H37" s="3">
        <f t="shared" si="1"/>
        <v>176</v>
      </c>
    </row>
    <row r="38">
      <c r="A38" s="7">
        <v>1034.0</v>
      </c>
      <c r="B38" s="8" t="s">
        <v>114</v>
      </c>
      <c r="C38" s="8" t="s">
        <v>52</v>
      </c>
      <c r="D38" s="8" t="s">
        <v>50</v>
      </c>
      <c r="E38" s="7">
        <v>17.0</v>
      </c>
      <c r="F38" s="7">
        <v>50.0</v>
      </c>
      <c r="G38" s="7" t="s">
        <v>115</v>
      </c>
      <c r="H38" s="3">
        <f t="shared" si="1"/>
        <v>850</v>
      </c>
    </row>
    <row r="39">
      <c r="A39" s="7">
        <v>1035.0</v>
      </c>
      <c r="B39" s="8" t="s">
        <v>116</v>
      </c>
      <c r="C39" s="8" t="s">
        <v>55</v>
      </c>
      <c r="D39" s="8" t="s">
        <v>53</v>
      </c>
      <c r="E39" s="7">
        <v>19.0</v>
      </c>
      <c r="F39" s="7">
        <v>10.0</v>
      </c>
      <c r="G39" s="7" t="s">
        <v>117</v>
      </c>
      <c r="H39" s="3">
        <f t="shared" si="1"/>
        <v>190</v>
      </c>
    </row>
    <row r="40">
      <c r="A40" s="7">
        <v>1036.0</v>
      </c>
      <c r="B40" s="8" t="s">
        <v>118</v>
      </c>
      <c r="C40" s="8" t="s">
        <v>58</v>
      </c>
      <c r="D40" s="8" t="s">
        <v>56</v>
      </c>
      <c r="E40" s="7">
        <v>15.0</v>
      </c>
      <c r="F40" s="7">
        <v>25.0</v>
      </c>
      <c r="G40" s="7" t="s">
        <v>119</v>
      </c>
      <c r="H40" s="3">
        <f t="shared" si="1"/>
        <v>375</v>
      </c>
    </row>
    <row r="41">
      <c r="A41" s="7">
        <v>1037.0</v>
      </c>
      <c r="B41" s="8" t="s">
        <v>120</v>
      </c>
      <c r="C41" s="8" t="s">
        <v>49</v>
      </c>
      <c r="D41" s="8" t="s">
        <v>59</v>
      </c>
      <c r="E41" s="7">
        <v>28.0</v>
      </c>
      <c r="F41" s="7">
        <v>5.0</v>
      </c>
      <c r="G41" s="7" t="s">
        <v>121</v>
      </c>
      <c r="H41" s="3">
        <f t="shared" si="1"/>
        <v>140</v>
      </c>
    </row>
    <row r="42">
      <c r="A42" s="7">
        <v>1038.0</v>
      </c>
      <c r="B42" s="8" t="s">
        <v>122</v>
      </c>
      <c r="C42" s="8" t="s">
        <v>52</v>
      </c>
      <c r="D42" s="8" t="s">
        <v>61</v>
      </c>
      <c r="E42" s="7">
        <v>24.0</v>
      </c>
      <c r="F42" s="7">
        <v>8.0</v>
      </c>
      <c r="G42" s="7" t="s">
        <v>123</v>
      </c>
      <c r="H42" s="3">
        <f t="shared" si="1"/>
        <v>192</v>
      </c>
    </row>
    <row r="43">
      <c r="A43" s="7">
        <v>1039.0</v>
      </c>
      <c r="B43" s="8" t="s">
        <v>124</v>
      </c>
      <c r="C43" s="8" t="s">
        <v>55</v>
      </c>
      <c r="D43" s="8" t="s">
        <v>50</v>
      </c>
      <c r="E43" s="7">
        <v>16.0</v>
      </c>
      <c r="F43" s="7">
        <v>50.0</v>
      </c>
      <c r="G43" s="7" t="s">
        <v>125</v>
      </c>
      <c r="H43" s="3">
        <f t="shared" si="1"/>
        <v>800</v>
      </c>
    </row>
    <row r="44">
      <c r="A44" s="7">
        <v>1040.0</v>
      </c>
      <c r="B44" s="8" t="s">
        <v>126</v>
      </c>
      <c r="C44" s="8" t="s">
        <v>58</v>
      </c>
      <c r="D44" s="8" t="s">
        <v>53</v>
      </c>
      <c r="E44" s="7">
        <v>27.0</v>
      </c>
      <c r="F44" s="7">
        <v>10.0</v>
      </c>
      <c r="G44" s="7" t="s">
        <v>127</v>
      </c>
      <c r="H44" s="3">
        <f t="shared" si="1"/>
        <v>270</v>
      </c>
    </row>
    <row r="45">
      <c r="A45" s="7">
        <v>1041.0</v>
      </c>
      <c r="B45" s="8" t="s">
        <v>128</v>
      </c>
      <c r="C45" s="8" t="s">
        <v>49</v>
      </c>
      <c r="D45" s="8" t="s">
        <v>56</v>
      </c>
      <c r="E45" s="7">
        <v>21.0</v>
      </c>
      <c r="F45" s="7">
        <v>25.0</v>
      </c>
      <c r="G45" s="7" t="s">
        <v>129</v>
      </c>
      <c r="H45" s="3">
        <f t="shared" si="1"/>
        <v>525</v>
      </c>
    </row>
    <row r="46">
      <c r="A46" s="7">
        <v>1042.0</v>
      </c>
      <c r="B46" s="8" t="s">
        <v>130</v>
      </c>
      <c r="C46" s="8" t="s">
        <v>52</v>
      </c>
      <c r="D46" s="8" t="s">
        <v>59</v>
      </c>
      <c r="E46" s="7">
        <v>30.0</v>
      </c>
      <c r="F46" s="7">
        <v>5.0</v>
      </c>
      <c r="G46" s="7" t="s">
        <v>131</v>
      </c>
      <c r="H46" s="3">
        <f t="shared" si="1"/>
        <v>150</v>
      </c>
    </row>
    <row r="47">
      <c r="A47" s="7">
        <v>1043.0</v>
      </c>
      <c r="B47" s="8" t="s">
        <v>132</v>
      </c>
      <c r="C47" s="8" t="s">
        <v>55</v>
      </c>
      <c r="D47" s="8" t="s">
        <v>61</v>
      </c>
      <c r="E47" s="7">
        <v>26.0</v>
      </c>
      <c r="F47" s="7">
        <v>8.0</v>
      </c>
      <c r="G47" s="9">
        <v>45294.0</v>
      </c>
      <c r="H47" s="3">
        <f t="shared" si="1"/>
        <v>208</v>
      </c>
    </row>
    <row r="48">
      <c r="A48" s="7">
        <v>1044.0</v>
      </c>
      <c r="B48" s="8" t="s">
        <v>133</v>
      </c>
      <c r="C48" s="8" t="s">
        <v>58</v>
      </c>
      <c r="D48" s="8" t="s">
        <v>50</v>
      </c>
      <c r="E48" s="7">
        <v>14.0</v>
      </c>
      <c r="F48" s="7">
        <v>50.0</v>
      </c>
      <c r="G48" s="9">
        <v>45325.0</v>
      </c>
      <c r="H48" s="3">
        <f t="shared" si="1"/>
        <v>700</v>
      </c>
    </row>
    <row r="49">
      <c r="A49" s="7">
        <v>1045.0</v>
      </c>
      <c r="B49" s="8" t="s">
        <v>134</v>
      </c>
      <c r="C49" s="8" t="s">
        <v>49</v>
      </c>
      <c r="D49" s="8" t="s">
        <v>53</v>
      </c>
      <c r="E49" s="7">
        <v>20.0</v>
      </c>
      <c r="F49" s="7">
        <v>10.0</v>
      </c>
      <c r="G49" s="9">
        <v>45354.0</v>
      </c>
      <c r="H49" s="3">
        <f t="shared" si="1"/>
        <v>200</v>
      </c>
    </row>
    <row r="50">
      <c r="A50" s="7">
        <v>1046.0</v>
      </c>
      <c r="B50" s="8" t="s">
        <v>135</v>
      </c>
      <c r="C50" s="8" t="s">
        <v>52</v>
      </c>
      <c r="D50" s="8" t="s">
        <v>56</v>
      </c>
      <c r="E50" s="7">
        <v>17.0</v>
      </c>
      <c r="F50" s="7">
        <v>25.0</v>
      </c>
      <c r="G50" s="9">
        <v>45385.0</v>
      </c>
      <c r="H50" s="3">
        <f t="shared" si="1"/>
        <v>425</v>
      </c>
    </row>
    <row r="51">
      <c r="A51" s="7">
        <v>1047.0</v>
      </c>
      <c r="B51" s="8" t="s">
        <v>136</v>
      </c>
      <c r="C51" s="8" t="s">
        <v>55</v>
      </c>
      <c r="D51" s="8" t="s">
        <v>59</v>
      </c>
      <c r="E51" s="7">
        <v>19.0</v>
      </c>
      <c r="F51" s="7">
        <v>5.0</v>
      </c>
      <c r="G51" s="9">
        <v>45415.0</v>
      </c>
      <c r="H51" s="3">
        <f t="shared" si="1"/>
        <v>95</v>
      </c>
    </row>
    <row r="52">
      <c r="A52" s="7">
        <v>1048.0</v>
      </c>
      <c r="B52" s="8" t="s">
        <v>137</v>
      </c>
      <c r="C52" s="8" t="s">
        <v>58</v>
      </c>
      <c r="D52" s="8" t="s">
        <v>61</v>
      </c>
      <c r="E52" s="7">
        <v>32.0</v>
      </c>
      <c r="F52" s="7">
        <v>8.0</v>
      </c>
      <c r="G52" s="9">
        <v>45446.0</v>
      </c>
      <c r="H52" s="3">
        <f t="shared" si="1"/>
        <v>256</v>
      </c>
    </row>
    <row r="53">
      <c r="A53" s="7">
        <v>1049.0</v>
      </c>
      <c r="B53" s="8" t="s">
        <v>138</v>
      </c>
      <c r="C53" s="8" t="s">
        <v>49</v>
      </c>
      <c r="D53" s="8" t="s">
        <v>50</v>
      </c>
      <c r="E53" s="7">
        <v>12.0</v>
      </c>
      <c r="F53" s="7">
        <v>50.0</v>
      </c>
      <c r="G53" s="9">
        <v>45476.0</v>
      </c>
      <c r="H53" s="3">
        <f t="shared" si="1"/>
        <v>600</v>
      </c>
    </row>
    <row r="54">
      <c r="A54" s="7">
        <v>1050.0</v>
      </c>
      <c r="B54" s="8" t="s">
        <v>139</v>
      </c>
      <c r="C54" s="8" t="s">
        <v>52</v>
      </c>
      <c r="D54" s="8" t="s">
        <v>53</v>
      </c>
      <c r="E54" s="7">
        <v>25.0</v>
      </c>
      <c r="F54" s="7">
        <v>10.0</v>
      </c>
      <c r="G54" s="9">
        <v>45507.0</v>
      </c>
      <c r="H54" s="3">
        <f t="shared" si="1"/>
        <v>250</v>
      </c>
    </row>
  </sheetData>
  <mergeCells count="6">
    <mergeCell ref="M9:O9"/>
    <mergeCell ref="C2:E2"/>
    <mergeCell ref="F2:J2"/>
    <mergeCell ref="L2:P2"/>
    <mergeCell ref="J14:N14"/>
    <mergeCell ref="J18:N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