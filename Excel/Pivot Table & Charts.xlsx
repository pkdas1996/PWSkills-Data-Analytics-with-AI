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vot Table 1 + Q1,2" sheetId="1" r:id="rId4"/>
    <sheet state="visible" name="Sales Dataset + Q3,4" sheetId="2" r:id="rId5"/>
    <sheet state="visible" name="Pivot Table 2 + Q5" sheetId="3" r:id="rId6"/>
    <sheet state="visible" name="Q6" sheetId="4" r:id="rId7"/>
    <sheet state="visible" name="Dashboard - Q7,8" sheetId="5" r:id="rId8"/>
    <sheet state="visible" name="Pivot Table 3 + Q9" sheetId="6" r:id="rId9"/>
    <sheet state="visible" name="Pivot Table 4 + Q10" sheetId="7" r:id="rId10"/>
  </sheets>
  <definedNames>
    <definedName hidden="1" localSheetId="1" name="_xlnm._FilterDatabase">'Sales Dataset + Q3,4'!$G$24:$K$44</definedName>
    <definedName hidden="1" localSheetId="1" name="Z_65C2321C_F982_4F01_930B_E9A175D9AF75_.wvu.FilterData">'Sales Dataset + Q3,4'!$A$1:$E$21</definedName>
    <definedName hidden="1" localSheetId="3" name="Z_65C2321C_F982_4F01_930B_E9A175D9AF75_.wvu.FilterData">'Q6'!$A$11:$E$31</definedName>
    <definedName hidden="1" localSheetId="1" name="Z_A355BAB0_CFE9_45E5_9408_B3897C6C0B4D_.wvu.FilterData">'Sales Dataset + Q3,4'!$A$1:$E$21</definedName>
    <definedName hidden="1" localSheetId="3" name="Z_A355BAB0_CFE9_45E5_9408_B3897C6C0B4D_.wvu.FilterData">'Q6'!$A$11:$E$31</definedName>
    <definedName name="SlicerCache_Table_1_Col_3">#N/A</definedName>
    <definedName name="SlicerCache_Table_2_Col_3">#N/A</definedName>
  </definedNames>
  <calcPr/>
  <customWorkbookViews>
    <customWorkbookView activeSheetId="0" maximized="1" windowHeight="0" windowWidth="0" guid="{65C2321C-F982-4F01-930B-E9A175D9AF75}" name="Filter 2"/>
    <customWorkbookView activeSheetId="0" maximized="1" windowHeight="0" windowWidth="0" guid="{A355BAB0-CFE9-45E5-9408-B3897C6C0B4D}" name="Filter 1"/>
  </customWorkbookViews>
  <pivotCaches>
    <pivotCache cacheId="0" r:id="rId11"/>
    <pivotCache cacheId="1" r:id="rId12"/>
    <pivotCache cacheId="2" r:id="rId13"/>
    <pivotCache cacheId="3" r:id="rId14"/>
    <pivotCache cacheId="4" r:id="rId15"/>
    <pivotCache cacheId="5" r:id="rId16"/>
  </pivotCaches>
  <extLst>
    <ext uri="GoogleSheetsCustomDataVersion2">
      <go:sheetsCustomData xmlns:go="http://customooxmlschemas.google.com/" r:id="rId19" roundtripDataChecksum="V+JGMEQrCISq/BTgrFqFJL8iJYair7HAxWCUipLaCXM="/>
    </ext>
    <ext uri="{46BE6895-7355-4a93-B00E-2C351335B9C9}">
      <x15:slicerCaches>
        <x14:slicerCache r:id="rId17"/>
        <x14:slicerCache r:id="rId18"/>
      </x15:slicerCaches>
    </ext>
  </extLst>
</workbook>
</file>

<file path=xl/sharedStrings.xml><?xml version="1.0" encoding="utf-8"?>
<sst xmlns="http://schemas.openxmlformats.org/spreadsheetml/2006/main" count="207" uniqueCount="48">
  <si>
    <t>Region</t>
  </si>
  <si>
    <t>SUM of Sales</t>
  </si>
  <si>
    <r>
      <rPr>
        <rFont val="Arial"/>
        <color rgb="FF000000"/>
        <sz val="10.0"/>
      </rPr>
      <t xml:space="preserve">Q2) Create a PivotTable to show </t>
    </r>
    <r>
      <rPr>
        <rFont val="Arial"/>
        <b/>
        <color rgb="FF000000"/>
        <sz val="10.0"/>
      </rPr>
      <t>Total Sales by Region</t>
    </r>
    <r>
      <rPr>
        <rFont val="Arial"/>
        <color rgb="FF000000"/>
        <sz val="10.0"/>
      </rPr>
      <t>.</t>
    </r>
  </si>
  <si>
    <t>East</t>
  </si>
  <si>
    <t>North</t>
  </si>
  <si>
    <r>
      <rPr>
        <rFont val="Arial"/>
        <color theme="1"/>
        <sz val="10.0"/>
      </rPr>
      <t xml:space="preserve">1) Select the </t>
    </r>
    <r>
      <rPr>
        <rFont val="Arial"/>
        <b/>
        <color theme="1"/>
        <sz val="10.0"/>
      </rPr>
      <t>Sales Dataset</t>
    </r>
    <r>
      <rPr>
        <rFont val="Arial"/>
        <color theme="1"/>
        <sz val="10.0"/>
      </rPr>
      <t>. 
2) Click Insert =&gt; Pivot table (</t>
    </r>
    <r>
      <rPr>
        <rFont val="Arial"/>
        <b/>
        <color theme="1"/>
        <sz val="10.0"/>
      </rPr>
      <t>SUM of Sales</t>
    </r>
    <r>
      <rPr>
        <rFont val="Arial"/>
        <color theme="1"/>
        <sz val="10.0"/>
      </rPr>
      <t xml:space="preserve">, group by </t>
    </r>
    <r>
      <rPr>
        <rFont val="Arial"/>
        <b/>
        <color theme="1"/>
        <sz val="10.0"/>
      </rPr>
      <t>Region</t>
    </r>
    <r>
      <rPr>
        <rFont val="Arial"/>
        <color theme="1"/>
        <sz val="10.0"/>
      </rPr>
      <t xml:space="preserve">). Choose New sheet.
3) In Pivot Table Editor: Rows =&gt; </t>
    </r>
    <r>
      <rPr>
        <rFont val="Arial"/>
        <b/>
        <color theme="1"/>
        <sz val="10.0"/>
      </rPr>
      <t>Region</t>
    </r>
    <r>
      <rPr>
        <rFont val="Arial"/>
        <color theme="1"/>
        <sz val="10.0"/>
      </rPr>
      <t xml:space="preserve">, Values =&gt; </t>
    </r>
    <r>
      <rPr>
        <rFont val="Arial"/>
        <b/>
        <color theme="1"/>
        <sz val="10.0"/>
      </rPr>
      <t>Sales</t>
    </r>
    <r>
      <rPr>
        <rFont val="Arial"/>
        <color theme="1"/>
        <sz val="10.0"/>
      </rPr>
      <t xml:space="preserve"> (Summarize by </t>
    </r>
    <r>
      <rPr>
        <rFont val="Arial"/>
        <b/>
        <color theme="1"/>
        <sz val="10.0"/>
      </rPr>
      <t>SUM</t>
    </r>
    <r>
      <rPr>
        <rFont val="Arial"/>
        <color theme="1"/>
        <sz val="10.0"/>
      </rPr>
      <t>).</t>
    </r>
  </si>
  <si>
    <t>South</t>
  </si>
  <si>
    <t>West</t>
  </si>
  <si>
    <t>Grand Total</t>
  </si>
  <si>
    <t>Q1) What is the purpose of a PivotTable in Excel?</t>
  </si>
  <si>
    <r>
      <rPr>
        <rFont val="Arial"/>
        <color rgb="FF000000"/>
        <sz val="10.0"/>
      </rPr>
      <t xml:space="preserve">A PivotTable is used to summarize large datasets quickly and perform aggregation such as </t>
    </r>
    <r>
      <rPr>
        <rFont val="Arial"/>
        <b/>
        <color rgb="FF000000"/>
        <sz val="10.0"/>
      </rPr>
      <t>SUM, COUNT, AVERAGE</t>
    </r>
    <r>
      <rPr>
        <rFont val="Arial"/>
        <color rgb="FF000000"/>
        <sz val="10.0"/>
      </rPr>
      <t>, etc. (Generate summary level reports on data categories/ groups.) It also helps to analyze data dynamically without changing the original dataset and view data from different perspectives (</t>
    </r>
    <r>
      <rPr>
        <rFont val="Arial"/>
        <b/>
        <color rgb="FF000000"/>
        <sz val="10.0"/>
      </rPr>
      <t>Region</t>
    </r>
    <r>
      <rPr>
        <rFont val="Arial"/>
        <color rgb="FF000000"/>
        <sz val="10.0"/>
      </rPr>
      <t>-wise,</t>
    </r>
    <r>
      <rPr>
        <rFont val="Arial"/>
        <b/>
        <color rgb="FF000000"/>
        <sz val="10.0"/>
      </rPr>
      <t xml:space="preserve"> Month</t>
    </r>
    <r>
      <rPr>
        <rFont val="Arial"/>
        <color rgb="FF000000"/>
        <sz val="10.0"/>
      </rPr>
      <t xml:space="preserve">-wise, </t>
    </r>
    <r>
      <rPr>
        <rFont val="Arial"/>
        <b/>
        <color rgb="FF000000"/>
        <sz val="10.0"/>
      </rPr>
      <t>Product</t>
    </r>
    <r>
      <rPr>
        <rFont val="Arial"/>
        <color rgb="FF000000"/>
        <sz val="10.0"/>
      </rPr>
      <t>-wise).</t>
    </r>
  </si>
  <si>
    <t>Date</t>
  </si>
  <si>
    <t>Product</t>
  </si>
  <si>
    <t>Sales</t>
  </si>
  <si>
    <t>Quantity</t>
  </si>
  <si>
    <r>
      <rPr>
        <rFont val="Arial"/>
        <color rgb="FF000000"/>
        <sz val="10.0"/>
      </rPr>
      <t xml:space="preserve">Q3) Apply Conditional Formatting to highlight </t>
    </r>
    <r>
      <rPr>
        <rFont val="Arial"/>
        <b/>
        <color rgb="FF000000"/>
        <sz val="10.0"/>
      </rPr>
      <t>Sales</t>
    </r>
    <r>
      <rPr>
        <rFont val="Arial"/>
        <color rgb="FF000000"/>
        <sz val="10.0"/>
      </rPr>
      <t xml:space="preserve"> &gt; 400.</t>
    </r>
  </si>
  <si>
    <t>Mangoes</t>
  </si>
  <si>
    <t>Oranges</t>
  </si>
  <si>
    <r>
      <rPr>
        <rFont val="Arial"/>
        <color rgb="FF000000"/>
        <sz val="10.0"/>
      </rPr>
      <t xml:space="preserve">1) Select the </t>
    </r>
    <r>
      <rPr>
        <rFont val="Arial"/>
        <b/>
        <color rgb="FF000000"/>
        <sz val="10.0"/>
      </rPr>
      <t>Sales</t>
    </r>
    <r>
      <rPr>
        <rFont val="Arial"/>
        <color rgb="FF000000"/>
        <sz val="10.0"/>
      </rPr>
      <t xml:space="preserve"> column.
 2) Go to Format =&gt; Conditional Formatting.
 3) Choose Format cells if =&gt; Greater Than. Enter 400.
 4) Choose a highlight color (e.g., Green)</t>
    </r>
  </si>
  <si>
    <t>Apples</t>
  </si>
  <si>
    <t>Q4) Explain the difference between Sorting and Filtering with an example from this dataset.</t>
  </si>
  <si>
    <r>
      <rPr>
        <rFont val="Arial"/>
        <color rgb="FF000000"/>
        <sz val="10.0"/>
      </rPr>
      <t xml:space="preserve">Sorting reorders data (changes row order to ascending/ descending). E.g. Sort </t>
    </r>
    <r>
      <rPr>
        <rFont val="Arial"/>
        <b/>
        <color rgb="FF000000"/>
        <sz val="10.0"/>
      </rPr>
      <t>Sales</t>
    </r>
    <r>
      <rPr>
        <rFont val="Arial"/>
        <color rgb="FF000000"/>
        <sz val="10.0"/>
      </rPr>
      <t xml:space="preserve"> column from Highest to Lowest to find the top selling products and regions. 
(</t>
    </r>
    <r>
      <rPr>
        <rFont val="Arial"/>
        <b/>
        <color rgb="FF000000"/>
        <sz val="10.0"/>
      </rPr>
      <t>See the Left table</t>
    </r>
    <r>
      <rPr>
        <rFont val="Arial"/>
        <color rgb="FF000000"/>
        <sz val="10.0"/>
      </rPr>
      <t xml:space="preserve"> =&gt; sorted from highest to lowest sales.)  [Select </t>
    </r>
    <r>
      <rPr>
        <rFont val="Arial"/>
        <b/>
        <color rgb="FF000000"/>
        <sz val="10.0"/>
      </rPr>
      <t>Sales</t>
    </r>
    <r>
      <rPr>
        <rFont val="Arial"/>
        <color rgb="FF000000"/>
        <sz val="10.0"/>
      </rPr>
      <t xml:space="preserve"> Column. Go to Data =&gt; Sort Range =&gt; Sort Range by Column (Z to A)] 
Filtering highlights a certain subset of the data (hiding the rest) to derive targeted insights. E.g. Filter </t>
    </r>
    <r>
      <rPr>
        <rFont val="Arial"/>
        <b/>
        <color rgb="FF000000"/>
        <sz val="10.0"/>
      </rPr>
      <t>Region</t>
    </r>
    <r>
      <rPr>
        <rFont val="Arial"/>
        <color rgb="FF000000"/>
        <sz val="10.0"/>
      </rPr>
      <t xml:space="preserve"> = West to view only West region sales. 
(</t>
    </r>
    <r>
      <rPr>
        <rFont val="Arial"/>
        <b/>
        <color rgb="FF000000"/>
        <sz val="10.0"/>
      </rPr>
      <t>See the bottom table</t>
    </r>
    <r>
      <rPr>
        <rFont val="Arial"/>
        <color rgb="FF000000"/>
        <sz val="10.0"/>
      </rPr>
      <t xml:space="preserve"> =&gt; filtered on </t>
    </r>
    <r>
      <rPr>
        <rFont val="Arial"/>
        <b/>
        <color rgb="FF000000"/>
        <sz val="10.0"/>
      </rPr>
      <t>Region</t>
    </r>
    <r>
      <rPr>
        <rFont val="Arial"/>
        <color rgb="FF000000"/>
        <sz val="10.0"/>
      </rPr>
      <t xml:space="preserve"> = west.) [Select the dataset. Go to Data =&gt; Create a Filter =&gt; Filter </t>
    </r>
    <r>
      <rPr>
        <rFont val="Arial"/>
        <b/>
        <color rgb="FF000000"/>
        <sz val="10.0"/>
      </rPr>
      <t xml:space="preserve">Region </t>
    </r>
    <r>
      <rPr>
        <rFont val="Arial"/>
        <color rgb="FF000000"/>
        <sz val="10.0"/>
      </rPr>
      <t>= West]</t>
    </r>
  </si>
  <si>
    <t>Date - Month</t>
  </si>
  <si>
    <r>
      <rPr>
        <rFont val="Arial"/>
        <color theme="1"/>
      </rPr>
      <t xml:space="preserve">Q5) Create a PivotChart showing </t>
    </r>
    <r>
      <rPr>
        <rFont val="Arial"/>
        <b/>
        <color theme="1"/>
      </rPr>
      <t>Monthly Sales Trend</t>
    </r>
    <r>
      <rPr>
        <rFont val="Arial"/>
        <color theme="1"/>
      </rPr>
      <t>.</t>
    </r>
  </si>
  <si>
    <t>Jan</t>
  </si>
  <si>
    <t>Feb</t>
  </si>
  <si>
    <t>Mar</t>
  </si>
  <si>
    <r>
      <rPr>
        <rFont val="Arial"/>
        <color theme="1"/>
      </rPr>
      <t>1) Create a Pivot Table (</t>
    </r>
    <r>
      <rPr>
        <rFont val="Arial"/>
        <b/>
        <color theme="1"/>
      </rPr>
      <t>SUM of Sales</t>
    </r>
    <r>
      <rPr>
        <rFont val="Arial"/>
        <color theme="1"/>
      </rPr>
      <t xml:space="preserve">, group by </t>
    </r>
    <r>
      <rPr>
        <rFont val="Arial"/>
        <b/>
        <color theme="1"/>
      </rPr>
      <t>Date - Month</t>
    </r>
    <r>
      <rPr>
        <rFont val="Arial"/>
        <color theme="1"/>
      </rPr>
      <t xml:space="preserve">) in a new worksheet.
2) Add: Rows =&gt; </t>
    </r>
    <r>
      <rPr>
        <rFont val="Arial"/>
        <b/>
        <color theme="1"/>
      </rPr>
      <t>Date</t>
    </r>
    <r>
      <rPr>
        <rFont val="Arial"/>
        <color theme="1"/>
      </rPr>
      <t xml:space="preserve">, Values =&gt; </t>
    </r>
    <r>
      <rPr>
        <rFont val="Arial"/>
        <b/>
        <color theme="1"/>
      </rPr>
      <t>Sales</t>
    </r>
    <r>
      <rPr>
        <rFont val="Arial"/>
        <color theme="1"/>
      </rPr>
      <t xml:space="preserve"> (</t>
    </r>
    <r>
      <rPr>
        <rFont val="Arial"/>
        <b/>
        <color theme="1"/>
      </rPr>
      <t>SUM</t>
    </r>
    <r>
      <rPr>
        <rFont val="Arial"/>
        <color theme="1"/>
      </rPr>
      <t xml:space="preserve">).
3) Select a date cell =&gt; Right click and Create pivot date group =&gt; </t>
    </r>
    <r>
      <rPr>
        <rFont val="Arial"/>
        <b/>
        <color theme="1"/>
      </rPr>
      <t>Month</t>
    </r>
    <r>
      <rPr>
        <rFont val="Arial"/>
        <color theme="1"/>
      </rPr>
      <t>.
4) Select a cell in Pivot Table =&gt; Insert =&gt; Chart. Select Chart Type =&gt; Line chart.</t>
    </r>
  </si>
  <si>
    <t>Apr</t>
  </si>
  <si>
    <t>May</t>
  </si>
  <si>
    <t>Jun</t>
  </si>
  <si>
    <r>
      <rPr>
        <rFont val="Arial"/>
        <color theme="1"/>
      </rPr>
      <t xml:space="preserve">Q6) Use a Slicer to filter data by </t>
    </r>
    <r>
      <rPr>
        <rFont val="Arial"/>
        <b/>
        <color theme="1"/>
      </rPr>
      <t>Product</t>
    </r>
    <r>
      <rPr>
        <rFont val="Arial"/>
        <color theme="1"/>
      </rPr>
      <t xml:space="preserve"> and observe change in </t>
    </r>
    <r>
      <rPr>
        <rFont val="Arial"/>
        <b/>
        <color theme="1"/>
      </rPr>
      <t>Sales</t>
    </r>
    <r>
      <rPr>
        <rFont val="Arial"/>
        <color theme="1"/>
      </rPr>
      <t>.</t>
    </r>
  </si>
  <si>
    <r>
      <rPr>
        <rFont val="Arial"/>
        <color theme="1"/>
      </rPr>
      <t xml:space="preserve">1) Create a Pivot Table: </t>
    </r>
    <r>
      <rPr>
        <rFont val="Arial"/>
        <b/>
        <color theme="1"/>
      </rPr>
      <t>SUM of Sales</t>
    </r>
    <r>
      <rPr>
        <rFont val="Arial"/>
        <color theme="1"/>
      </rPr>
      <t xml:space="preserve">, grouped by </t>
    </r>
    <r>
      <rPr>
        <rFont val="Arial"/>
        <b/>
        <color theme="1"/>
      </rPr>
      <t>Product</t>
    </r>
    <r>
      <rPr>
        <rFont val="Arial"/>
        <color theme="1"/>
      </rPr>
      <t xml:space="preserve">.
2) Select a cell in the </t>
    </r>
    <r>
      <rPr>
        <rFont val="Arial"/>
        <b/>
        <color theme="1"/>
      </rPr>
      <t>Product</t>
    </r>
    <r>
      <rPr>
        <rFont val="Arial"/>
        <color theme="1"/>
      </rPr>
      <t xml:space="preserve"> column of Pivot Table.
3) Click Data =&gt; Add a slicer.
4) Apply slicer to </t>
    </r>
    <r>
      <rPr>
        <rFont val="Arial"/>
        <b/>
        <color theme="1"/>
      </rPr>
      <t>Product</t>
    </r>
    <r>
      <rPr>
        <rFont val="Arial"/>
        <color theme="1"/>
      </rPr>
      <t>.
5) Use slicer buttons (</t>
    </r>
    <r>
      <rPr>
        <rFont val="Arial"/>
        <b/>
        <color theme="1"/>
      </rPr>
      <t>Apples</t>
    </r>
    <r>
      <rPr>
        <rFont val="Arial"/>
        <color theme="1"/>
      </rPr>
      <t xml:space="preserve">, </t>
    </r>
    <r>
      <rPr>
        <rFont val="Arial"/>
        <b/>
        <color theme="1"/>
      </rPr>
      <t>Oranges</t>
    </r>
    <r>
      <rPr>
        <rFont val="Arial"/>
        <color theme="1"/>
      </rPr>
      <t xml:space="preserve">, </t>
    </r>
    <r>
      <rPr>
        <rFont val="Arial"/>
        <b/>
        <color theme="1"/>
      </rPr>
      <t>Mangoes</t>
    </r>
    <r>
      <rPr>
        <rFont val="Arial"/>
        <color theme="1"/>
      </rPr>
      <t xml:space="preserve">) to dynamically filter the sales for specific products. (E.g. </t>
    </r>
    <r>
      <rPr>
        <rFont val="Arial"/>
        <b/>
        <color theme="1"/>
      </rPr>
      <t>Apples</t>
    </r>
    <r>
      <rPr>
        <rFont val="Arial"/>
        <color theme="1"/>
      </rPr>
      <t xml:space="preserve">, </t>
    </r>
    <r>
      <rPr>
        <rFont val="Arial"/>
        <b/>
        <color theme="1"/>
      </rPr>
      <t>Mangoes</t>
    </r>
    <r>
      <rPr>
        <rFont val="Arial"/>
        <color theme="1"/>
      </rPr>
      <t>)</t>
    </r>
  </si>
  <si>
    <t>FRUIT SALES DASHBOARD (Jan - Jun 2024)</t>
  </si>
  <si>
    <t>Q7) Why are dashboards important for decision-making in business analysis?</t>
  </si>
  <si>
    <t>TOTAL SALES</t>
  </si>
  <si>
    <t>AVERAGE MONTHLY SALES</t>
  </si>
  <si>
    <t>TOP PERFORMING REGION</t>
  </si>
  <si>
    <t>Dashboards provide a single-page view of mutiple key performance indicators (KPIs).
They enable quick informed decision-making and help identify multiple connected trends, patterns, and outliers. 
They also allow interactive analysis using filters and slicers and provide fast real-time business insights.</t>
  </si>
  <si>
    <r>
      <rPr>
        <rFont val="Arial"/>
        <color theme="1"/>
      </rPr>
      <t xml:space="preserve">Q8) Create a dashboard that includes:
I) </t>
    </r>
    <r>
      <rPr>
        <rFont val="Arial"/>
        <b/>
        <color theme="1"/>
      </rPr>
      <t>Sales by Region</t>
    </r>
    <r>
      <rPr>
        <rFont val="Arial"/>
        <color theme="1"/>
      </rPr>
      <t xml:space="preserve"> (PivotTable + Chart).
II) </t>
    </r>
    <r>
      <rPr>
        <rFont val="Arial"/>
        <b/>
        <color theme="1"/>
      </rPr>
      <t>Product</t>
    </r>
    <r>
      <rPr>
        <rFont val="Arial"/>
        <color theme="1"/>
      </rPr>
      <t xml:space="preserve"> Filter (Slicer).
III) </t>
    </r>
    <r>
      <rPr>
        <rFont val="Arial"/>
        <b/>
        <color theme="1"/>
      </rPr>
      <t>Monthly Trend</t>
    </r>
    <r>
      <rPr>
        <rFont val="Arial"/>
        <color theme="1"/>
      </rPr>
      <t xml:space="preserve"> (Line Chart).</t>
    </r>
  </si>
  <si>
    <r>
      <rPr>
        <rFont val="Arial"/>
        <b/>
        <color theme="1"/>
      </rPr>
      <t>I) Top section:</t>
    </r>
    <r>
      <rPr>
        <rFont val="Arial"/>
        <color theme="1"/>
      </rPr>
      <t xml:space="preserve">
1) Title: </t>
    </r>
    <r>
      <rPr>
        <rFont val="Arial"/>
        <b/>
        <color theme="1"/>
      </rPr>
      <t>FRUIT SALES DASHBOARD (Jan - Jun 2024)</t>
    </r>
    <r>
      <rPr>
        <rFont val="Arial"/>
        <color theme="1"/>
      </rPr>
      <t xml:space="preserve">
2) KPIs: 
i) </t>
    </r>
    <r>
      <rPr>
        <rFont val="Arial"/>
        <b/>
        <color theme="1"/>
      </rPr>
      <t>TOTAL SALES</t>
    </r>
    <r>
      <rPr>
        <rFont val="Arial"/>
        <color theme="1"/>
      </rPr>
      <t xml:space="preserve"> - </t>
    </r>
    <r>
      <rPr>
        <rFont val="Arial"/>
        <b/>
        <color theme="1"/>
      </rPr>
      <t>SUM of Sales</t>
    </r>
    <r>
      <rPr>
        <rFont val="Arial"/>
        <color theme="1"/>
      </rPr>
      <t xml:space="preserve"> in </t>
    </r>
    <r>
      <rPr>
        <rFont val="Arial"/>
        <b/>
        <color theme="1"/>
      </rPr>
      <t>Sales by Region</t>
    </r>
    <r>
      <rPr>
        <rFont val="Arial"/>
        <color theme="1"/>
      </rPr>
      <t xml:space="preserve"> Pivot Table = SUM(B7:B10).
ii) </t>
    </r>
    <r>
      <rPr>
        <rFont val="Arial"/>
        <b/>
        <color theme="1"/>
      </rPr>
      <t>AVERAGE MONTHLY SALES</t>
    </r>
    <r>
      <rPr>
        <rFont val="Arial"/>
        <color theme="1"/>
      </rPr>
      <t xml:space="preserve"> - Average of </t>
    </r>
    <r>
      <rPr>
        <rFont val="Arial"/>
        <b/>
        <color theme="1"/>
      </rPr>
      <t>SUM of Sales</t>
    </r>
    <r>
      <rPr>
        <rFont val="Arial"/>
        <color theme="1"/>
      </rPr>
      <t xml:space="preserve"> in </t>
    </r>
    <r>
      <rPr>
        <rFont val="Arial"/>
        <b/>
        <color theme="1"/>
      </rPr>
      <t xml:space="preserve">Monthly Sales Trend </t>
    </r>
    <r>
      <rPr>
        <rFont val="Arial"/>
        <color theme="1"/>
      </rPr>
      <t xml:space="preserve">Pivot Table = AVERAGE(F7:F12).
iii) </t>
    </r>
    <r>
      <rPr>
        <rFont val="Arial"/>
        <b/>
        <color theme="1"/>
      </rPr>
      <t>TOP PERFORMING REGION</t>
    </r>
    <r>
      <rPr>
        <rFont val="Arial"/>
        <color theme="1"/>
      </rPr>
      <t xml:space="preserve"> - </t>
    </r>
    <r>
      <rPr>
        <rFont val="Arial"/>
        <b/>
        <color theme="1"/>
      </rPr>
      <t>Region</t>
    </r>
    <r>
      <rPr>
        <rFont val="Arial"/>
        <color theme="1"/>
      </rPr>
      <t xml:space="preserve"> with the most sales (</t>
    </r>
    <r>
      <rPr>
        <rFont val="Arial"/>
        <b/>
        <color theme="1"/>
      </rPr>
      <t>SUM of Sales</t>
    </r>
    <r>
      <rPr>
        <rFont val="Arial"/>
        <color theme="1"/>
      </rPr>
      <t xml:space="preserve">) in </t>
    </r>
    <r>
      <rPr>
        <rFont val="Arial"/>
        <b/>
        <color theme="1"/>
      </rPr>
      <t>Sales by Region</t>
    </r>
    <r>
      <rPr>
        <rFont val="Arial"/>
        <color theme="1"/>
      </rPr>
      <t xml:space="preserve"> Pivot Table = INDEX(A7:A10,MATCH(MAX(B7:B10),B7:B10,0)).
</t>
    </r>
    <r>
      <rPr>
        <rFont val="Arial"/>
        <b/>
        <color theme="1"/>
      </rPr>
      <t xml:space="preserve">II) Left section: 
</t>
    </r>
    <r>
      <rPr>
        <rFont val="Arial"/>
        <color theme="1"/>
      </rPr>
      <t xml:space="preserve">1) </t>
    </r>
    <r>
      <rPr>
        <rFont val="Arial"/>
        <b/>
        <color theme="1"/>
      </rPr>
      <t>Sales by Region</t>
    </r>
    <r>
      <rPr>
        <rFont val="Arial"/>
        <color theme="1"/>
      </rPr>
      <t xml:space="preserve"> Pivot Table (+ Chart)
i) Data Source - </t>
    </r>
    <r>
      <rPr>
        <rFont val="Arial"/>
        <b/>
        <color theme="1"/>
      </rPr>
      <t xml:space="preserve">Sales Dataset
</t>
    </r>
    <r>
      <rPr>
        <rFont val="Arial"/>
        <color theme="1"/>
      </rPr>
      <t xml:space="preserve">ii) Rows - </t>
    </r>
    <r>
      <rPr>
        <rFont val="Arial"/>
        <b/>
        <color theme="1"/>
      </rPr>
      <t xml:space="preserve">Region
</t>
    </r>
    <r>
      <rPr>
        <rFont val="Arial"/>
        <color theme="1"/>
      </rPr>
      <t xml:space="preserve">iii) Values - </t>
    </r>
    <r>
      <rPr>
        <rFont val="Arial"/>
        <b/>
        <color theme="1"/>
      </rPr>
      <t xml:space="preserve">SUM of Sales
</t>
    </r>
    <r>
      <rPr>
        <rFont val="Arial"/>
        <color theme="1"/>
      </rPr>
      <t xml:space="preserve">iv) Chart Type - </t>
    </r>
    <r>
      <rPr>
        <rFont val="Arial"/>
        <b/>
        <color theme="1"/>
      </rPr>
      <t xml:space="preserve">Colum Chart
</t>
    </r>
    <r>
      <rPr>
        <rFont val="Arial"/>
        <color theme="1"/>
      </rPr>
      <t xml:space="preserve">2) </t>
    </r>
    <r>
      <rPr>
        <rFont val="Arial"/>
        <b/>
        <color theme="1"/>
      </rPr>
      <t>Product</t>
    </r>
    <r>
      <rPr>
        <rFont val="Arial"/>
        <color theme="1"/>
      </rPr>
      <t xml:space="preserve"> Slicer (filtered on </t>
    </r>
    <r>
      <rPr>
        <rFont val="Arial"/>
        <b/>
        <color theme="1"/>
      </rPr>
      <t>Apples</t>
    </r>
    <r>
      <rPr>
        <rFont val="Arial"/>
        <color theme="1"/>
      </rPr>
      <t xml:space="preserve">, </t>
    </r>
    <r>
      <rPr>
        <rFont val="Arial"/>
        <b/>
        <color theme="1"/>
      </rPr>
      <t>Mangoes</t>
    </r>
    <r>
      <rPr>
        <rFont val="Arial"/>
        <color theme="1"/>
      </rPr>
      <t xml:space="preserve">)
i) Connected to both Pivot Tables.
ii) Selecting a </t>
    </r>
    <r>
      <rPr>
        <rFont val="Arial"/>
        <b/>
        <color theme="1"/>
      </rPr>
      <t>Product</t>
    </r>
    <r>
      <rPr>
        <rFont val="Arial"/>
        <color theme="1"/>
      </rPr>
      <t xml:space="preserve"> updates both </t>
    </r>
    <r>
      <rPr>
        <rFont val="Arial"/>
        <b/>
        <color theme="1"/>
      </rPr>
      <t>Sales by Region</t>
    </r>
    <r>
      <rPr>
        <rFont val="Arial"/>
        <color theme="1"/>
      </rPr>
      <t xml:space="preserve"> Pivot Table (+Chart) and </t>
    </r>
    <r>
      <rPr>
        <rFont val="Arial"/>
        <b/>
        <color theme="1"/>
      </rPr>
      <t>Monthly Sales Trend</t>
    </r>
    <r>
      <rPr>
        <rFont val="Arial"/>
        <color theme="1"/>
      </rPr>
      <t xml:space="preserve"> Pivot Table (+Chart).
</t>
    </r>
    <r>
      <rPr>
        <rFont val="Arial"/>
        <b/>
        <color theme="1"/>
      </rPr>
      <t>III) Right section:
Monthly Sales Trend</t>
    </r>
    <r>
      <rPr>
        <rFont val="Arial"/>
        <color theme="1"/>
      </rPr>
      <t xml:space="preserve"> Pivot Table (+ Chart)
i) Data Source - </t>
    </r>
    <r>
      <rPr>
        <rFont val="Arial"/>
        <b/>
        <color theme="1"/>
      </rPr>
      <t xml:space="preserve">Sales Dataset
</t>
    </r>
    <r>
      <rPr>
        <rFont val="Arial"/>
        <color theme="1"/>
      </rPr>
      <t xml:space="preserve">ii) Rows - </t>
    </r>
    <r>
      <rPr>
        <rFont val="Arial"/>
        <b/>
        <color theme="1"/>
      </rPr>
      <t>Date</t>
    </r>
    <r>
      <rPr>
        <rFont val="Arial"/>
        <color theme="1"/>
      </rPr>
      <t xml:space="preserve"> (Grouped by </t>
    </r>
    <r>
      <rPr>
        <rFont val="Arial"/>
        <b/>
        <color theme="1"/>
      </rPr>
      <t>Month</t>
    </r>
    <r>
      <rPr>
        <rFont val="Arial"/>
        <color theme="1"/>
      </rPr>
      <t xml:space="preserve">)
iii) Values - </t>
    </r>
    <r>
      <rPr>
        <rFont val="Arial"/>
        <b/>
        <color theme="1"/>
      </rPr>
      <t xml:space="preserve">SUM of Sales
</t>
    </r>
    <r>
      <rPr>
        <rFont val="Arial"/>
        <color theme="1"/>
      </rPr>
      <t xml:space="preserve">iv) Chart Type - </t>
    </r>
    <r>
      <rPr>
        <rFont val="Arial"/>
        <b/>
        <color theme="1"/>
      </rPr>
      <t xml:space="preserve">Line Chart
</t>
    </r>
  </si>
  <si>
    <t>AVERAGE of Sales</t>
  </si>
  <si>
    <r>
      <rPr>
        <rFont val="Arial"/>
        <color theme="1"/>
      </rPr>
      <t xml:space="preserve">Q9) Group </t>
    </r>
    <r>
      <rPr>
        <rFont val="Arial"/>
        <b/>
        <color theme="1"/>
      </rPr>
      <t>Dates</t>
    </r>
    <r>
      <rPr>
        <rFont val="Arial"/>
        <color theme="1"/>
      </rPr>
      <t xml:space="preserve"> in PivotTable into </t>
    </r>
    <r>
      <rPr>
        <rFont val="Arial"/>
        <b/>
        <color theme="1"/>
      </rPr>
      <t>Months</t>
    </r>
    <r>
      <rPr>
        <rFont val="Arial"/>
        <color theme="1"/>
      </rPr>
      <t xml:space="preserve"> and calculate</t>
    </r>
    <r>
      <rPr>
        <rFont val="Arial"/>
        <b/>
        <color theme="1"/>
      </rPr>
      <t xml:space="preserve"> Average Sales per Month</t>
    </r>
    <r>
      <rPr>
        <rFont val="Arial"/>
        <color theme="1"/>
      </rPr>
      <t>.</t>
    </r>
  </si>
  <si>
    <r>
      <rPr>
        <rFont val="Arial"/>
        <color theme="1"/>
      </rPr>
      <t xml:space="preserve">1) Create a Pivot Table: </t>
    </r>
    <r>
      <rPr>
        <rFont val="Arial"/>
        <b/>
        <color theme="1"/>
      </rPr>
      <t>Average Sales per Month</t>
    </r>
    <r>
      <rPr>
        <rFont val="Arial"/>
        <color theme="1"/>
      </rPr>
      <t xml:space="preserve">.
2) Add: 
i) Rows - </t>
    </r>
    <r>
      <rPr>
        <rFont val="Arial"/>
        <b/>
        <color theme="1"/>
      </rPr>
      <t>Date</t>
    </r>
    <r>
      <rPr>
        <rFont val="Arial"/>
        <color theme="1"/>
      </rPr>
      <t xml:space="preserve"> (Group by </t>
    </r>
    <r>
      <rPr>
        <rFont val="Arial"/>
        <b/>
        <color theme="1"/>
      </rPr>
      <t>Month</t>
    </r>
    <r>
      <rPr>
        <rFont val="Arial"/>
        <color theme="1"/>
      </rPr>
      <t xml:space="preserve">)
ii) Values - Sales (Summarize by </t>
    </r>
    <r>
      <rPr>
        <rFont val="Arial"/>
        <b/>
        <color theme="1"/>
      </rPr>
      <t>AVERAGE</t>
    </r>
    <r>
      <rPr>
        <rFont val="Arial"/>
        <color theme="1"/>
      </rPr>
      <t xml:space="preserve">)
</t>
    </r>
  </si>
  <si>
    <t>product2</t>
  </si>
  <si>
    <t>Fruits</t>
  </si>
  <si>
    <r>
      <rPr>
        <rFont val="Arial"/>
        <color theme="1"/>
      </rPr>
      <t xml:space="preserve">Q10) Combine </t>
    </r>
    <r>
      <rPr>
        <rFont val="Arial"/>
        <b/>
        <color theme="1"/>
      </rPr>
      <t>Apples</t>
    </r>
    <r>
      <rPr>
        <rFont val="Arial"/>
        <color theme="1"/>
      </rPr>
      <t xml:space="preserve"> and </t>
    </r>
    <r>
      <rPr>
        <rFont val="Arial"/>
        <b/>
        <color theme="1"/>
      </rPr>
      <t>Oranges</t>
    </r>
    <r>
      <rPr>
        <rFont val="Arial"/>
        <color theme="1"/>
      </rPr>
      <t xml:space="preserve"> into one group called </t>
    </r>
    <r>
      <rPr>
        <rFont val="Arial"/>
        <b/>
        <color theme="1"/>
      </rPr>
      <t>Fruits</t>
    </r>
    <r>
      <rPr>
        <rFont val="Arial"/>
        <color theme="1"/>
      </rPr>
      <t xml:space="preserve"> and compare its </t>
    </r>
    <r>
      <rPr>
        <rFont val="Arial"/>
        <b/>
        <color theme="1"/>
      </rPr>
      <t>Sales</t>
    </r>
    <r>
      <rPr>
        <rFont val="Arial"/>
        <color theme="1"/>
      </rPr>
      <t xml:space="preserve"> with other products.</t>
    </r>
  </si>
  <si>
    <r>
      <rPr>
        <rFont val="Arial"/>
        <color theme="1"/>
      </rPr>
      <t xml:space="preserve">1) Create a Pivot Table: </t>
    </r>
    <r>
      <rPr>
        <rFont val="Arial"/>
        <b/>
        <color theme="1"/>
      </rPr>
      <t>SUM of Sales</t>
    </r>
    <r>
      <rPr>
        <rFont val="Arial"/>
        <color theme="1"/>
      </rPr>
      <t xml:space="preserve">, group by </t>
    </r>
    <r>
      <rPr>
        <rFont val="Arial"/>
        <b/>
        <color theme="1"/>
      </rPr>
      <t xml:space="preserve">Product.
</t>
    </r>
    <r>
      <rPr>
        <rFont val="Arial"/>
        <color theme="1"/>
      </rPr>
      <t xml:space="preserve">2) In Pivot Table:Rows =&gt; </t>
    </r>
    <r>
      <rPr>
        <rFont val="Arial"/>
        <b/>
        <color theme="1"/>
      </rPr>
      <t>Product</t>
    </r>
    <r>
      <rPr>
        <rFont val="Arial"/>
        <color theme="1"/>
      </rPr>
      <t xml:space="preserve">, Values =&gt; </t>
    </r>
    <r>
      <rPr>
        <rFont val="Arial"/>
        <b/>
        <color theme="1"/>
      </rPr>
      <t xml:space="preserve">Sales (SUM)
</t>
    </r>
    <r>
      <rPr>
        <rFont val="Arial"/>
        <color theme="1"/>
      </rPr>
      <t xml:space="preserve">3) Select the cells: </t>
    </r>
    <r>
      <rPr>
        <rFont val="Arial"/>
        <b/>
        <color theme="1"/>
      </rPr>
      <t>Apples</t>
    </r>
    <r>
      <rPr>
        <rFont val="Arial"/>
        <color theme="1"/>
      </rPr>
      <t xml:space="preserve"> and </t>
    </r>
    <r>
      <rPr>
        <rFont val="Arial"/>
        <b/>
        <color theme="1"/>
      </rPr>
      <t>Oranges</t>
    </r>
    <r>
      <rPr>
        <rFont val="Arial"/>
        <color theme="1"/>
      </rPr>
      <t xml:space="preserve"> under </t>
    </r>
    <r>
      <rPr>
        <rFont val="Arial"/>
        <b/>
        <color theme="1"/>
      </rPr>
      <t>Product</t>
    </r>
    <r>
      <rPr>
        <rFont val="Arial"/>
        <color theme="1"/>
      </rPr>
      <t xml:space="preserve">. Right click =&gt; Create Pivot group. Rename group to </t>
    </r>
    <r>
      <rPr>
        <rFont val="Arial"/>
        <b/>
        <color theme="1"/>
      </rPr>
      <t>Fruits</t>
    </r>
    <r>
      <rPr>
        <rFont val="Arial"/>
        <color theme="1"/>
      </rPr>
      <t xml:space="preserve">.
4) Comparing the </t>
    </r>
    <r>
      <rPr>
        <rFont val="Arial"/>
        <b/>
        <color theme="1"/>
      </rPr>
      <t>SUM of Sales</t>
    </r>
    <r>
      <rPr>
        <rFont val="Arial"/>
        <color theme="1"/>
      </rPr>
      <t xml:space="preserve"> for the 2 products listed </t>
    </r>
    <r>
      <rPr>
        <rFont val="Arial"/>
        <b/>
        <color theme="1"/>
      </rPr>
      <t>Fruits</t>
    </r>
    <r>
      <rPr>
        <rFont val="Arial"/>
        <color theme="1"/>
      </rPr>
      <t xml:space="preserve"> (</t>
    </r>
    <r>
      <rPr>
        <rFont val="Arial"/>
        <b/>
        <color theme="1"/>
      </rPr>
      <t>Apples</t>
    </r>
    <r>
      <rPr>
        <rFont val="Arial"/>
        <color theme="1"/>
      </rPr>
      <t xml:space="preserve"> + </t>
    </r>
    <r>
      <rPr>
        <rFont val="Arial"/>
        <b/>
        <color theme="1"/>
      </rPr>
      <t>Oranges</t>
    </r>
    <r>
      <rPr>
        <rFont val="Arial"/>
        <color theme="1"/>
      </rPr>
      <t xml:space="preserve">) and </t>
    </r>
    <r>
      <rPr>
        <rFont val="Arial"/>
        <b/>
        <color theme="1"/>
      </rPr>
      <t>Mangoes</t>
    </r>
    <r>
      <rPr>
        <rFont val="Arial"/>
        <color theme="1"/>
      </rPr>
      <t xml:space="preserve">, we see that </t>
    </r>
    <r>
      <rPr>
        <rFont val="Arial"/>
        <b/>
        <color theme="1"/>
      </rPr>
      <t>Fruits</t>
    </r>
    <r>
      <rPr>
        <rFont val="Arial"/>
        <color theme="1"/>
      </rPr>
      <t xml:space="preserve"> corresponds to higher </t>
    </r>
    <r>
      <rPr>
        <rFont val="Arial"/>
        <b/>
        <color theme="1"/>
      </rPr>
      <t>Sales</t>
    </r>
    <r>
      <rPr>
        <rFont val="Arial"/>
        <color theme="1"/>
      </rPr>
      <t xml:space="preserve"> as compared to </t>
    </r>
    <r>
      <rPr>
        <rFont val="Arial"/>
        <b/>
        <color theme="1"/>
      </rPr>
      <t>Mangoes</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</si>
</sst>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00"/>
    <numFmt numFmtId="166" formatCode="m/d/yyyy h:mm:ss"/>
  </numFmts>
  <fonts count="8">
    <font>
      <sz val="10.0"/>
      <color rgb="FF000000"/>
      <name val="Arial"/>
      <scheme val="minor"/>
    </font>
    <font>
      <color theme="1"/>
      <name val="Arial"/>
      <scheme val="minor"/>
    </font>
    <font>
      <sz val="10.0"/>
      <color rgb="FF000000"/>
      <name val="&quot;Aptos Narrow&quot;"/>
    </font>
    <font>
      <sz val="10.0"/>
      <color theme="1"/>
      <name val="Arial"/>
    </font>
    <font>
      <sz val="11.0"/>
      <color theme="1"/>
      <name val="Arial"/>
    </font>
    <font>
      <b/>
      <color theme="1"/>
      <name val="Arial"/>
    </font>
    <font>
      <color theme="1"/>
      <name val="Arial"/>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bottom"/>
    </xf>
    <xf borderId="0" fillId="0" fontId="1" numFmtId="165" xfId="0" applyFont="1" applyNumberFormat="1"/>
    <xf borderId="0" fillId="0" fontId="3" numFmtId="0" xfId="0" applyAlignment="1" applyFont="1">
      <alignment shrinkToFit="0" wrapText="1"/>
    </xf>
    <xf borderId="0" fillId="0" fontId="4" numFmtId="0" xfId="0" applyAlignment="1" applyFont="1">
      <alignment shrinkToFit="0" wrapText="1"/>
    </xf>
    <xf borderId="0" fillId="0" fontId="2" numFmtId="0" xfId="0" applyAlignment="1" applyFont="1">
      <alignment horizontal="center" shrinkToFit="0" vertical="bottom" wrapText="0"/>
    </xf>
    <xf borderId="0" fillId="0" fontId="2" numFmtId="0" xfId="0" applyAlignment="1" applyFont="1">
      <alignment horizontal="left" shrinkToFit="0" vertical="bottom" wrapText="1"/>
    </xf>
    <xf borderId="0" fillId="0" fontId="5" numFmtId="0" xfId="0" applyFont="1"/>
    <xf borderId="0" fillId="0" fontId="6" numFmtId="164" xfId="0" applyFont="1" applyNumberFormat="1"/>
    <xf borderId="0" fillId="0" fontId="6" numFmtId="0" xfId="0" applyFont="1"/>
    <xf borderId="0" fillId="0" fontId="6" numFmtId="165" xfId="0" applyFont="1" applyNumberFormat="1"/>
    <xf borderId="1" fillId="0" fontId="5" numFmtId="0" xfId="0" applyBorder="1" applyFont="1"/>
    <xf borderId="0" fillId="0" fontId="3" numFmtId="0" xfId="0" applyFont="1"/>
    <xf borderId="1" fillId="0" fontId="6" numFmtId="164" xfId="0" applyBorder="1" applyFont="1" applyNumberFormat="1"/>
    <xf borderId="1" fillId="0" fontId="6" numFmtId="0" xfId="0" applyBorder="1" applyFont="1"/>
    <xf borderId="1" fillId="0" fontId="6" numFmtId="165" xfId="0" applyBorder="1" applyFont="1" applyNumberFormat="1"/>
    <xf borderId="0" fillId="0" fontId="6" numFmtId="0" xfId="0" applyAlignment="1" applyFont="1">
      <alignment horizontal="center"/>
    </xf>
    <xf borderId="0" fillId="0" fontId="1" numFmtId="166" xfId="0" applyFont="1" applyNumberFormat="1"/>
    <xf borderId="0" fillId="0" fontId="6" numFmtId="0" xfId="0" applyAlignment="1" applyFont="1">
      <alignment readingOrder="0"/>
    </xf>
    <xf borderId="0" fillId="0" fontId="6" numFmtId="0" xfId="0" applyAlignment="1" applyFont="1">
      <alignment readingOrder="0" shrinkToFit="0" wrapText="1"/>
    </xf>
    <xf borderId="2" fillId="0" fontId="5" numFmtId="0" xfId="0" applyAlignment="1" applyBorder="1" applyFont="1">
      <alignment horizontal="center"/>
    </xf>
    <xf borderId="3" fillId="0" fontId="7" numFmtId="0" xfId="0" applyBorder="1" applyFont="1"/>
    <xf borderId="4" fillId="0" fontId="7" numFmtId="0" xfId="0" applyBorder="1" applyFont="1"/>
    <xf borderId="0" fillId="0" fontId="6" numFmtId="0" xfId="0" applyAlignment="1" applyFont="1">
      <alignment shrinkToFit="0" wrapText="1"/>
    </xf>
    <xf borderId="2" fillId="0" fontId="6" numFmtId="165" xfId="0" applyBorder="1" applyFont="1" applyNumberFormat="1"/>
    <xf borderId="2" fillId="0" fontId="6" numFmtId="0" xfId="0" applyAlignment="1" applyBorder="1" applyFont="1">
      <alignment horizontal="center"/>
    </xf>
    <xf borderId="0" fillId="0" fontId="6" numFmtId="0" xfId="0" applyAlignment="1" applyFont="1">
      <alignment horizontal="center" shrinkToFit="0" wrapText="1"/>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5.xml"/><Relationship Id="rId14" Type="http://schemas.openxmlformats.org/officeDocument/2006/relationships/pivotCacheDefinition" Target="pivotCache/pivotCacheDefinition4.xml"/><Relationship Id="rId17" Type="http://schemas.microsoft.com/office/2007/relationships/slicerCache" Target="slicerCaches/slicerCache1.xml"/><Relationship Id="rId16" Type="http://schemas.openxmlformats.org/officeDocument/2006/relationships/pivotCacheDefinition" Target="pivotCache/pivotCacheDefinition6.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microsoft.com/office/2007/relationships/slicerCache" Target="slicerCaches/slicerCache2.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Monthly Sales Trend</a:t>
            </a:r>
          </a:p>
        </c:rich>
      </c:tx>
      <c:overlay val="0"/>
    </c:title>
    <c:plotArea>
      <c:layout/>
      <c:lineChart>
        <c:varyColors val="0"/>
        <c:ser>
          <c:idx val="0"/>
          <c:order val="0"/>
          <c:tx>
            <c:strRef>
              <c:f>'Pivot Table 2 + Q5'!$B$1</c:f>
            </c:strRef>
          </c:tx>
          <c:spPr>
            <a:ln cmpd="sng">
              <a:solidFill>
                <a:srgbClr val="4285F4"/>
              </a:solidFill>
            </a:ln>
          </c:spPr>
          <c:marker>
            <c:symbol val="none"/>
          </c:marker>
          <c:dLbls>
            <c:numFmt formatCode="General" sourceLinked="1"/>
            <c:txPr>
              <a:bodyPr/>
              <a:lstStyle/>
              <a:p>
                <a:pPr lvl="0">
                  <a:defRPr b="1" i="0"/>
                </a:pPr>
              </a:p>
            </c:txPr>
            <c:showLegendKey val="0"/>
            <c:showVal val="1"/>
            <c:showCatName val="0"/>
            <c:showSerName val="0"/>
            <c:showPercent val="0"/>
            <c:showBubbleSize val="0"/>
          </c:dLbls>
          <c:cat>
            <c:strRef>
              <c:f>'Pivot Table 2 + Q5'!$A$2:$A$8</c:f>
            </c:strRef>
          </c:cat>
          <c:val>
            <c:numRef>
              <c:f>'Pivot Table 2 + Q5'!$B$2:$B$8</c:f>
              <c:numCache/>
            </c:numRef>
          </c:val>
          <c:smooth val="0"/>
        </c:ser>
        <c:axId val="1617865456"/>
        <c:axId val="436577151"/>
      </c:lineChart>
      <c:catAx>
        <c:axId val="161786545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Date - Month</a:t>
                </a:r>
              </a:p>
            </c:rich>
          </c:tx>
          <c:overlay val="0"/>
        </c:title>
        <c:numFmt formatCode="General" sourceLinked="1"/>
        <c:majorTickMark val="none"/>
        <c:minorTickMark val="none"/>
        <c:spPr/>
        <c:txPr>
          <a:bodyPr/>
          <a:lstStyle/>
          <a:p>
            <a:pPr lvl="0">
              <a:defRPr b="0" i="0">
                <a:solidFill>
                  <a:srgbClr val="000000"/>
                </a:solidFill>
                <a:latin typeface="+mn-lt"/>
              </a:defRPr>
            </a:pPr>
          </a:p>
        </c:txPr>
        <c:crossAx val="436577151"/>
      </c:catAx>
      <c:valAx>
        <c:axId val="4365771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617865456"/>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by Region</a:t>
            </a:r>
          </a:p>
        </c:rich>
      </c:tx>
      <c:overlay val="0"/>
    </c:title>
    <c:plotArea>
      <c:layout/>
      <c:barChart>
        <c:barDir val="col"/>
        <c:ser>
          <c:idx val="0"/>
          <c:order val="0"/>
          <c:tx>
            <c:strRef>
              <c:f>'Dashboard - Q7,8'!$B$6</c:f>
            </c:strRef>
          </c:tx>
          <c:spPr>
            <a:solidFill>
              <a:schemeClr val="accent1"/>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'Dashboard - Q7,8'!$A$7:$A$10</c:f>
            </c:strRef>
          </c:cat>
          <c:val>
            <c:numRef>
              <c:f>'Dashboard - Q7,8'!$B$7:$B$10</c:f>
              <c:numCache/>
            </c:numRef>
          </c:val>
        </c:ser>
        <c:axId val="2145017008"/>
        <c:axId val="1043321179"/>
      </c:barChart>
      <c:catAx>
        <c:axId val="2145017008"/>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Region</a:t>
                </a:r>
              </a:p>
            </c:rich>
          </c:tx>
          <c:overlay val="0"/>
        </c:title>
        <c:numFmt formatCode="General" sourceLinked="1"/>
        <c:majorTickMark val="none"/>
        <c:minorTickMark val="none"/>
        <c:spPr/>
        <c:txPr>
          <a:bodyPr/>
          <a:lstStyle/>
          <a:p>
            <a:pPr lvl="0">
              <a:defRPr b="0" i="0">
                <a:solidFill>
                  <a:srgbClr val="000000"/>
                </a:solidFill>
                <a:latin typeface="+mn-lt"/>
              </a:defRPr>
            </a:pPr>
          </a:p>
        </c:txPr>
        <c:crossAx val="1043321179"/>
      </c:catAx>
      <c:valAx>
        <c:axId val="10433211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145017008"/>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Monthly sales trend</a:t>
            </a:r>
          </a:p>
        </c:rich>
      </c:tx>
      <c:overlay val="0"/>
    </c:title>
    <c:plotArea>
      <c:layout/>
      <c:lineChart>
        <c:varyColors val="0"/>
        <c:ser>
          <c:idx val="0"/>
          <c:order val="0"/>
          <c:tx>
            <c:strRef>
              <c:f>'Dashboard - Q7,8'!$F$6</c:f>
            </c:strRef>
          </c:tx>
          <c:spPr>
            <a:ln cmpd="sng">
              <a:solidFill>
                <a:srgbClr val="4285F4"/>
              </a:solidFill>
            </a:ln>
          </c:spPr>
          <c:marker>
            <c:symbol val="none"/>
          </c:marker>
          <c:dLbls>
            <c:numFmt formatCode="General" sourceLinked="1"/>
            <c:txPr>
              <a:bodyPr/>
              <a:lstStyle/>
              <a:p>
                <a:pPr lvl="0">
                  <a:defRPr b="1" i="0"/>
                </a:pPr>
              </a:p>
            </c:txPr>
            <c:showLegendKey val="0"/>
            <c:showVal val="1"/>
            <c:showCatName val="0"/>
            <c:showSerName val="0"/>
            <c:showPercent val="0"/>
            <c:showBubbleSize val="0"/>
          </c:dLbls>
          <c:cat>
            <c:strRef>
              <c:f>'Dashboard - Q7,8'!$E$7:$E$12</c:f>
            </c:strRef>
          </c:cat>
          <c:val>
            <c:numRef>
              <c:f>'Dashboard - Q7,8'!$F$7:$F$12</c:f>
              <c:numCache/>
            </c:numRef>
          </c:val>
          <c:smooth val="0"/>
        </c:ser>
        <c:axId val="1903469980"/>
        <c:axId val="432882975"/>
      </c:lineChart>
      <c:catAx>
        <c:axId val="190346998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Date - Month</a:t>
                </a:r>
              </a:p>
            </c:rich>
          </c:tx>
          <c:overlay val="0"/>
        </c:title>
        <c:numFmt formatCode="General" sourceLinked="1"/>
        <c:majorTickMark val="none"/>
        <c:minorTickMark val="none"/>
        <c:spPr/>
        <c:txPr>
          <a:bodyPr/>
          <a:lstStyle/>
          <a:p>
            <a:pPr lvl="0">
              <a:defRPr b="0" i="0">
                <a:solidFill>
                  <a:srgbClr val="000000"/>
                </a:solidFill>
                <a:latin typeface="+mn-lt"/>
              </a:defRPr>
            </a:pPr>
          </a:p>
        </c:txPr>
        <c:crossAx val="432882975"/>
      </c:catAx>
      <c:valAx>
        <c:axId val="4328829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03469980"/>
      </c:valAx>
    </c:plotArea>
    <c:legend>
      <c:legendPos val="r"/>
      <c:overlay val="0"/>
      <c:txPr>
        <a:bodyPr/>
        <a:lstStyle/>
        <a:p>
          <a:pPr lvl="0">
            <a:defRPr b="0" i="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180975</xdr:rowOff>
    </xdr:from>
    <xdr:ext cx="4695825" cy="2952750"/>
    <xdr:graphicFrame>
      <xdr:nvGraphicFramePr>
        <xdr:cNvPr id="103258726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914400</xdr:colOff>
      <xdr:row>5</xdr:row>
      <xdr:rowOff>123825</xdr:rowOff>
    </xdr:from>
    <xdr:ext cx="2466975" cy="2857500"/>
    <mc:AlternateContent>
      <mc:Choice Requires="sle15">
        <xdr:graphicFrame>
          <xdr:nvGraphicFramePr>
            <xdr:cNvPr id="1" name="Product_1"/>
            <xdr:cNvGraphicFramePr/>
          </xdr:nvGraphicFramePr>
          <xdr:xfrm>
            <a:off x="0" y="0"/>
            <a:ext cx="0" cy="0"/>
          </xdr:xfrm>
          <a:graphic>
            <a:graphicData uri="http://schemas.microsoft.com/office/drawing/2010/slicer">
              <x3Unk:slicer name="Produc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76200</xdr:rowOff>
    </xdr:from>
    <xdr:ext cx="3676650" cy="3590925"/>
    <xdr:graphicFrame>
      <xdr:nvGraphicFramePr>
        <xdr:cNvPr id="1124830067"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47625</xdr:colOff>
      <xdr:row>14</xdr:row>
      <xdr:rowOff>76200</xdr:rowOff>
    </xdr:from>
    <xdr:ext cx="4705350" cy="3590925"/>
    <xdr:graphicFrame>
      <xdr:nvGraphicFramePr>
        <xdr:cNvPr id="1841535542"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11</xdr:row>
      <xdr:rowOff>28575</xdr:rowOff>
    </xdr:from>
    <xdr:ext cx="2286000" cy="2857500"/>
    <mc:AlternateContent>
      <mc:Choice Requires="sle15">
        <xdr:graphicFrame>
          <xdr:nvGraphicFramePr>
            <xdr:cNvPr id="2" name="Product_2"/>
            <xdr:cNvGraphicFramePr/>
          </xdr:nvGraphicFramePr>
          <xdr:xfrm>
            <a:off x="0" y="0"/>
            <a:ext cx="0" cy="0"/>
          </xdr:xfrm>
          <a:graphic>
            <a:graphicData uri="http://schemas.microsoft.com/office/drawing/2010/slicer">
              <x3Unk:slicer name="Produc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1" sheet="Sales Dataset + Q3,4"/>
  </cacheSource>
  <cacheFields>
    <cacheField name="Date" numFmtId="164">
      <sharedItems containsSemiMixedTypes="0" containsDate="1" containsString="0">
        <d v="2024-01-01T00:00:00Z"/>
        <d v="2024-01-10T00:00:00Z"/>
        <d v="2024-01-20T00:00:00Z"/>
        <d v="2024-01-29T00:00:00Z"/>
        <d v="2024-02-08T00:00:00Z"/>
        <d v="2024-02-17T00:00:00Z"/>
        <d v="2024-02-27T00:00:00Z"/>
        <d v="2024-03-07T00:00:00Z"/>
        <d v="2024-03-17T00:00:00Z"/>
        <d v="2024-03-26T00:00:00Z"/>
        <d v="2024-04-05T00:00:00Z"/>
        <d v="2024-04-14T00:00:00Z"/>
        <d v="2024-04-24T00:00:00Z"/>
        <d v="2024-05-03T00:00:00Z"/>
        <d v="2024-05-13T00:00:00Z"/>
        <d v="2024-05-22T00:00:00Z"/>
        <d v="2024-06-01T00:00:00Z"/>
        <d v="2024-06-10T00:00:00Z"/>
        <d v="2024-06-20T00:00:00Z"/>
        <d v="2024-06-30T00:00:00Z"/>
      </sharedItems>
    </cacheField>
    <cacheField name="Region" numFmtId="0">
      <sharedItems>
        <s v="West"/>
        <s v="South"/>
        <s v="East"/>
        <s v="North"/>
      </sharedItems>
    </cacheField>
    <cacheField name="Product" numFmtId="0">
      <sharedItems>
        <s v="Mangoes"/>
        <s v="Oranges"/>
        <s v="Apples"/>
      </sharedItems>
    </cacheField>
    <cacheField name="Sales" numFmtId="165">
      <sharedItems containsSemiMixedTypes="0" containsString="0" containsNumber="1" containsInteger="1">
        <n v="497.0"/>
        <n v="483.0"/>
        <n v="467.0"/>
        <n v="456.0"/>
        <n v="441.0"/>
        <n v="417.0"/>
        <n v="409.0"/>
        <n v="398.0"/>
        <n v="380.0"/>
        <n v="348.0"/>
        <n v="347.0"/>
        <n v="334.0"/>
        <n v="319.0"/>
        <n v="281.0"/>
        <n v="247.0"/>
        <n v="230.0"/>
        <n v="205.0"/>
        <n v="76.0"/>
        <n v="53.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1" sheet="Sales Dataset + Q3,4"/>
  </cacheSource>
  <cacheFields>
    <cacheField name="Date" numFmtId="164">
      <sharedItems containsSemiMixedTypes="0" containsNonDate="0" containsDate="1" containsString="0" minDate="2024-01-01T00:00:00Z" maxDate="2024-07-01T00:00:00Z">
        <d v="2024-01-01T00:00:00Z"/>
        <d v="2024-01-10T00:00:00Z"/>
        <d v="2024-01-20T00:00:00Z"/>
        <d v="2024-01-29T00:00:00Z"/>
        <d v="2024-02-08T00:00:00Z"/>
        <d v="2024-02-17T00:00:00Z"/>
        <d v="2024-02-27T00:00:00Z"/>
        <d v="2024-03-07T00:00:00Z"/>
        <d v="2024-03-17T00:00:00Z"/>
        <d v="2024-03-26T00:00:00Z"/>
        <d v="2024-04-05T00:00:00Z"/>
        <d v="2024-04-14T00:00:00Z"/>
        <d v="2024-04-24T00:00:00Z"/>
        <d v="2024-05-03T00:00:00Z"/>
        <d v="2024-05-13T00:00:00Z"/>
        <d v="2024-05-22T00:00:00Z"/>
        <d v="2024-06-01T00:00:00Z"/>
        <d v="2024-06-10T00:00:00Z"/>
        <d v="2024-06-20T00:00:00Z"/>
        <d v="2024-06-30T00:00:00Z"/>
      </sharedItems>
      <fieldGroup base="0">
        <rangePr autoStart="0" autoEnd="0" groupBy="months" startDate="2024-01-01T00:00:00Z" endDate="2024-07-01T00:00:00Z"/>
        <groupItems>
          <s v="&lt;01/01/24"/>
          <s v="Jan"/>
          <s v="Feb"/>
          <s v="Mar"/>
          <s v="Apr"/>
          <s v="May"/>
          <s v="Jun"/>
          <s v="Jul"/>
          <s v="Aug"/>
          <s v="Sep"/>
          <s v="Oct"/>
          <s v="Nov"/>
          <s v="Dec"/>
          <s v="&gt;07/01/24"/>
        </groupItems>
      </fieldGroup>
    </cacheField>
    <cacheField name="Region" numFmtId="0">
      <sharedItems>
        <s v="West"/>
        <s v="South"/>
        <s v="East"/>
        <s v="North"/>
      </sharedItems>
    </cacheField>
    <cacheField name="Product" numFmtId="0">
      <sharedItems>
        <s v="Mangoes"/>
        <s v="Oranges"/>
        <s v="Apples"/>
      </sharedItems>
    </cacheField>
    <cacheField name="Sales" numFmtId="165">
      <sharedItems containsSemiMixedTypes="0" containsString="0" containsNumber="1" containsInteger="1">
        <n v="497.0"/>
        <n v="483.0"/>
        <n v="467.0"/>
        <n v="456.0"/>
        <n v="441.0"/>
        <n v="417.0"/>
        <n v="409.0"/>
        <n v="398.0"/>
        <n v="380.0"/>
        <n v="348.0"/>
        <n v="347.0"/>
        <n v="334.0"/>
        <n v="319.0"/>
        <n v="281.0"/>
        <n v="247.0"/>
        <n v="230.0"/>
        <n v="205.0"/>
        <n v="76.0"/>
        <n v="53.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1:E31" sheet="Q6"/>
  </cacheSource>
  <cacheFields>
    <cacheField name="Date" numFmtId="164">
      <sharedItems containsSemiMixedTypes="0" containsDate="1" containsString="0">
        <d v="2024-01-01T00:00:00Z"/>
        <d v="2024-01-10T00:00:00Z"/>
        <d v="2024-01-20T00:00:00Z"/>
        <d v="2024-01-29T00:00:00Z"/>
        <d v="2024-02-08T00:00:00Z"/>
        <d v="2024-02-17T00:00:00Z"/>
        <d v="2024-02-27T00:00:00Z"/>
        <d v="2024-03-07T00:00:00Z"/>
        <d v="2024-03-17T00:00:00Z"/>
        <d v="2024-03-26T00:00:00Z"/>
        <d v="2024-04-05T00:00:00Z"/>
        <d v="2024-04-14T00:00:00Z"/>
        <d v="2024-04-24T00:00:00Z"/>
        <d v="2024-05-03T00:00:00Z"/>
        <d v="2024-05-13T00:00:00Z"/>
        <d v="2024-05-22T00:00:00Z"/>
        <d v="2024-06-01T00:00:00Z"/>
        <d v="2024-06-10T00:00:00Z"/>
        <d v="2024-06-20T00:00:00Z"/>
        <d v="2024-06-30T00:00:00Z"/>
      </sharedItems>
    </cacheField>
    <cacheField name="Region" numFmtId="0">
      <sharedItems>
        <s v="West"/>
        <s v="South"/>
        <s v="East"/>
        <s v="North"/>
      </sharedItems>
    </cacheField>
    <cacheField name="Product" numFmtId="0">
      <sharedItems>
        <s v="Mangoes"/>
        <s v="Oranges"/>
        <s v="Apples"/>
      </sharedItems>
    </cacheField>
    <cacheField name="Sales" numFmtId="165">
      <sharedItems containsSemiMixedTypes="0" containsString="0" containsNumber="1" containsInteger="1">
        <n v="497.0"/>
        <n v="483.0"/>
        <n v="467.0"/>
        <n v="456.0"/>
        <n v="441.0"/>
        <n v="417.0"/>
        <n v="409.0"/>
        <n v="398.0"/>
        <n v="380.0"/>
        <n v="348.0"/>
        <n v="347.0"/>
        <n v="334.0"/>
        <n v="319.0"/>
        <n v="281.0"/>
        <n v="247.0"/>
        <n v="230.0"/>
        <n v="205.0"/>
        <n v="76.0"/>
        <n v="53.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1" sheet="Sales Dataset + Q3,4"/>
  </cacheSource>
  <cacheFields>
    <cacheField name="Date" numFmtId="164">
      <sharedItems containsSemiMixedTypes="0" containsNonDate="0" containsDate="1" containsString="0" minDate="2024-01-01T00:00:00Z" maxDate="2024-07-01T00:00:00Z">
        <d v="2024-01-01T00:00:00Z"/>
        <d v="2024-01-10T00:00:00Z"/>
        <d v="2024-01-20T00:00:00Z"/>
        <d v="2024-01-29T00:00:00Z"/>
        <d v="2024-02-08T00:00:00Z"/>
        <d v="2024-02-17T00:00:00Z"/>
        <d v="2024-02-27T00:00:00Z"/>
        <d v="2024-03-07T00:00:00Z"/>
        <d v="2024-03-17T00:00:00Z"/>
        <d v="2024-03-26T00:00:00Z"/>
        <d v="2024-04-05T00:00:00Z"/>
        <d v="2024-04-14T00:00:00Z"/>
        <d v="2024-04-24T00:00:00Z"/>
        <d v="2024-05-03T00:00:00Z"/>
        <d v="2024-05-13T00:00:00Z"/>
        <d v="2024-05-22T00:00:00Z"/>
        <d v="2024-06-01T00:00:00Z"/>
        <d v="2024-06-10T00:00:00Z"/>
        <d v="2024-06-20T00:00:00Z"/>
        <d v="2024-06-30T00:00:00Z"/>
      </sharedItems>
      <fieldGroup base="0">
        <rangePr autoStart="0" autoEnd="0" groupBy="months" startDate="2024-01-01T00:00:00Z" endDate="2024-07-01T00:00:00Z"/>
        <groupItems>
          <s v="&lt;01/01/24"/>
          <s v="Jan"/>
          <s v="Feb"/>
          <s v="Mar"/>
          <s v="Apr"/>
          <s v="May"/>
          <s v="Jun"/>
          <s v="Jul"/>
          <s v="Aug"/>
          <s v="Sep"/>
          <s v="Oct"/>
          <s v="Nov"/>
          <s v="Dec"/>
          <s v="&gt;07/01/24"/>
        </groupItems>
      </fieldGroup>
    </cacheField>
    <cacheField name="Region" numFmtId="0">
      <sharedItems>
        <s v="West"/>
        <s v="South"/>
        <s v="East"/>
        <s v="North"/>
      </sharedItems>
    </cacheField>
    <cacheField name="Product" numFmtId="0">
      <sharedItems>
        <s v="Mangoes"/>
        <s v="Oranges"/>
        <s v="Apples"/>
      </sharedItems>
    </cacheField>
    <cacheField name="Sales" numFmtId="165">
      <sharedItems containsSemiMixedTypes="0" containsString="0" containsNumber="1" containsInteger="1">
        <n v="497.0"/>
        <n v="483.0"/>
        <n v="467.0"/>
        <n v="456.0"/>
        <n v="441.0"/>
        <n v="417.0"/>
        <n v="409.0"/>
        <n v="398.0"/>
        <n v="380.0"/>
        <n v="348.0"/>
        <n v="347.0"/>
        <n v="334.0"/>
        <n v="319.0"/>
        <n v="281.0"/>
        <n v="247.0"/>
        <n v="230.0"/>
        <n v="205.0"/>
        <n v="76.0"/>
        <n v="53.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1" sheet="Sales Dataset + Q3,4"/>
  </cacheSource>
  <cacheFields>
    <cacheField name="Date" numFmtId="164">
      <sharedItems containsSemiMixedTypes="0" containsNonDate="0" containsDate="1" containsString="0" minDate="2024-01-01T00:00:00Z" maxDate="2024-07-01T00:00:00Z">
        <d v="2024-01-01T00:00:00Z"/>
        <d v="2024-01-10T00:00:00Z"/>
        <d v="2024-01-20T00:00:00Z"/>
        <d v="2024-01-29T00:00:00Z"/>
        <d v="2024-02-08T00:00:00Z"/>
        <d v="2024-02-17T00:00:00Z"/>
        <d v="2024-02-27T00:00:00Z"/>
        <d v="2024-03-07T00:00:00Z"/>
        <d v="2024-03-17T00:00:00Z"/>
        <d v="2024-03-26T00:00:00Z"/>
        <d v="2024-04-05T00:00:00Z"/>
        <d v="2024-04-14T00:00:00Z"/>
        <d v="2024-04-24T00:00:00Z"/>
        <d v="2024-05-03T00:00:00Z"/>
        <d v="2024-05-13T00:00:00Z"/>
        <d v="2024-05-22T00:00:00Z"/>
        <d v="2024-06-01T00:00:00Z"/>
        <d v="2024-06-10T00:00:00Z"/>
        <d v="2024-06-20T00:00:00Z"/>
        <d v="2024-06-30T00:00:00Z"/>
      </sharedItems>
      <fieldGroup base="0">
        <rangePr autoStart="0" autoEnd="0" groupBy="months" startDate="2024-01-01T00:00:00Z" endDate="2024-07-01T00:00:00Z"/>
        <groupItems>
          <s v="&lt;01/01/24"/>
          <s v="Jan"/>
          <s v="Feb"/>
          <s v="Mar"/>
          <s v="Apr"/>
          <s v="May"/>
          <s v="Jun"/>
          <s v="Jul"/>
          <s v="Aug"/>
          <s v="Sep"/>
          <s v="Oct"/>
          <s v="Nov"/>
          <s v="Dec"/>
          <s v="&gt;07/01/24"/>
        </groupItems>
      </fieldGroup>
    </cacheField>
    <cacheField name="Region" numFmtId="0">
      <sharedItems>
        <s v="West"/>
        <s v="South"/>
        <s v="East"/>
        <s v="North"/>
      </sharedItems>
    </cacheField>
    <cacheField name="Product" numFmtId="0">
      <sharedItems>
        <s v="Mangoes"/>
        <s v="Oranges"/>
        <s v="Apples"/>
      </sharedItems>
    </cacheField>
    <cacheField name="Sales" numFmtId="165">
      <sharedItems containsSemiMixedTypes="0" containsString="0" containsNumber="1" containsInteger="1">
        <n v="497.0"/>
        <n v="483.0"/>
        <n v="467.0"/>
        <n v="456.0"/>
        <n v="441.0"/>
        <n v="417.0"/>
        <n v="409.0"/>
        <n v="398.0"/>
        <n v="380.0"/>
        <n v="348.0"/>
        <n v="347.0"/>
        <n v="334.0"/>
        <n v="319.0"/>
        <n v="281.0"/>
        <n v="247.0"/>
        <n v="230.0"/>
        <n v="205.0"/>
        <n v="76.0"/>
        <n v="53.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1" sheet="Sales Dataset + Q3,4"/>
  </cacheSource>
  <cacheFields>
    <cacheField name="Date" numFmtId="164">
      <sharedItems containsSemiMixedTypes="0" containsDate="1" containsString="0">
        <d v="2024-01-01T00:00:00Z"/>
        <d v="2024-01-10T00:00:00Z"/>
        <d v="2024-01-20T00:00:00Z"/>
        <d v="2024-01-29T00:00:00Z"/>
        <d v="2024-02-08T00:00:00Z"/>
        <d v="2024-02-17T00:00:00Z"/>
        <d v="2024-02-27T00:00:00Z"/>
        <d v="2024-03-07T00:00:00Z"/>
        <d v="2024-03-17T00:00:00Z"/>
        <d v="2024-03-26T00:00:00Z"/>
        <d v="2024-04-05T00:00:00Z"/>
        <d v="2024-04-14T00:00:00Z"/>
        <d v="2024-04-24T00:00:00Z"/>
        <d v="2024-05-03T00:00:00Z"/>
        <d v="2024-05-13T00:00:00Z"/>
        <d v="2024-05-22T00:00:00Z"/>
        <d v="2024-06-01T00:00:00Z"/>
        <d v="2024-06-10T00:00:00Z"/>
        <d v="2024-06-20T00:00:00Z"/>
        <d v="2024-06-30T00:00:00Z"/>
      </sharedItems>
    </cacheField>
    <cacheField name="Region" numFmtId="0">
      <sharedItems>
        <s v="West"/>
        <s v="South"/>
        <s v="East"/>
        <s v="North"/>
      </sharedItems>
    </cacheField>
    <cacheField name="Product" numFmtId="0">
      <sharedItems>
        <s v="Mangoes"/>
        <s v="Oranges"/>
        <s v="Apples"/>
      </sharedItems>
      <fieldGroup par="5"/>
    </cacheField>
    <cacheField name="Sales" numFmtId="165">
      <sharedItems containsSemiMixedTypes="0" containsString="0" containsNumber="1" containsInteger="1">
        <n v="497.0"/>
        <n v="483.0"/>
        <n v="467.0"/>
        <n v="456.0"/>
        <n v="441.0"/>
        <n v="417.0"/>
        <n v="409.0"/>
        <n v="398.0"/>
        <n v="380.0"/>
        <n v="348.0"/>
        <n v="347.0"/>
        <n v="334.0"/>
        <n v="319.0"/>
        <n v="281.0"/>
        <n v="247.0"/>
        <n v="230.0"/>
        <n v="205.0"/>
        <n v="76.0"/>
        <n v="53.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 name="product2" numFmtId="0" databaseField="0">
      <fieldGroup base="2">
        <discretePr>
          <x v="1"/>
          <x v="0"/>
          <x v="0"/>
        </discretePr>
        <groupItems>
          <s v="Fruits"/>
          <s v="Mangoes"/>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 Table 1 + Q1,2" cacheId="0" dataCaption="" compact="0" compactData="0">
  <location ref="A1:B6"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ascending">
      <items>
        <item x="2"/>
        <item x="3"/>
        <item x="1"/>
        <item x="0"/>
        <item t="default"/>
      </items>
    </pivotField>
    <pivotField name="Product" compact="0" outline="0" multipleItemSelectionAllowed="1" showAll="0">
      <items>
        <item x="0"/>
        <item x="1"/>
        <item x="2"/>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SUM of Sales" fld="3" baseField="0"/>
  </dataFields>
</pivotTableDefinition>
</file>

<file path=xl/pivotTables/pivotTable2.xml><?xml version="1.0" encoding="utf-8"?>
<pivotTableDefinition xmlns="http://schemas.openxmlformats.org/spreadsheetml/2006/main" name="Pivot Table 2 + Q5" cacheId="1" dataCaption="" rowGrandTotals="0" compact="0" compactData="0">
  <location ref="A1:B7"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SUM of Sales" fld="3" baseField="0"/>
  </dataFields>
</pivotTableDefinition>
</file>

<file path=xl/pivotTables/pivotTable3.xml><?xml version="1.0" encoding="utf-8"?>
<pivotTableDefinition xmlns="http://schemas.openxmlformats.org/spreadsheetml/2006/main" name="Q6" cacheId="2" dataCaption="" compact="0" compactData="0">
  <location ref="A1:B5"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compact="0" outline="0" multipleItemSelectionAllowed="1" showAll="0">
      <items>
        <item x="0"/>
        <item x="1"/>
        <item x="2"/>
        <item x="3"/>
        <item t="default"/>
      </items>
    </pivotField>
    <pivotField name="Product" axis="axisRow" compact="0" outline="0" multipleItemSelectionAllowed="1" showAll="0" sortType="ascending">
      <items>
        <item x="2"/>
        <item x="0"/>
        <item x="1"/>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dataFields>
    <dataField name="SUM of Sales" fld="3" baseField="0"/>
  </dataFields>
</pivotTableDefinition>
</file>

<file path=xl/pivotTables/pivotTable4.xml><?xml version="1.0" encoding="utf-8"?>
<pivotTableDefinition xmlns="http://schemas.openxmlformats.org/spreadsheetml/2006/main" name="Dashboard - Q7,8" cacheId="0" dataCaption="" rowGrandTotals="0" compact="0" compactData="0">
  <location ref="A6:B10"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ascending">
      <items>
        <item x="2"/>
        <item x="3"/>
        <item x="1"/>
        <item x="0"/>
        <item t="default"/>
      </items>
    </pivotField>
    <pivotField name="Product" compact="0" outline="0" multipleItemSelectionAllowed="1" showAll="0">
      <items>
        <item x="0"/>
        <item x="1"/>
        <item x="2"/>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SUM of Sales" fld="3" baseField="0"/>
  </dataFields>
</pivotTableDefinition>
</file>

<file path=xl/pivotTables/pivotTable5.xml><?xml version="1.0" encoding="utf-8"?>
<pivotTableDefinition xmlns="http://schemas.openxmlformats.org/spreadsheetml/2006/main" name="Dashboard - Q7,8 2" cacheId="3" dataCaption="" rowGrandTotals="0" compact="0" compactData="0">
  <location ref="E6:F12"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SUM of Sales" fld="3" baseField="0"/>
  </dataFields>
</pivotTableDefinition>
</file>

<file path=xl/pivotTables/pivotTable6.xml><?xml version="1.0" encoding="utf-8"?>
<pivotTableDefinition xmlns="http://schemas.openxmlformats.org/spreadsheetml/2006/main" name="Pivot Table 3 + Q9" cacheId="4" dataCaption="" rowGrandTotals="0" compact="0" compactData="0">
  <location ref="A1:B7"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Sales" fld="3" subtotal="average" baseField="0"/>
  </dataFields>
</pivotTableDefinition>
</file>

<file path=xl/pivotTables/pivotTable7.xml><?xml version="1.0" encoding="utf-8"?>
<pivotTableDefinition xmlns="http://schemas.openxmlformats.org/spreadsheetml/2006/main" name="Pivot Table 4 + Q10" cacheId="5" dataCaption="" compact="0" compactData="0">
  <location ref="A1:B4"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product2" axis="axisRow" compact="0" outline="0" multipleItemSelectionAllowed="1" showAll="0" sortType="ascending">
      <items>
        <item x="0"/>
        <item x="1"/>
        <item t="default"/>
      </items>
    </pivotField>
  </pivotFields>
  <rowFields>
    <field x="5"/>
  </rowFields>
  <dataFields>
    <dataField name="SUM of Sales"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Product">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3" sourceName="Product">
  <x14:extLst>
    <ext uri="{2F2917AC-EB37-4324-AD4E-5DD8C200BD13}">
      <x15:tableSlicerCache tableId="2"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1" cache="SlicerCache_Table_2_Col_3" caption="Product"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2" cache="SlicerCache_Table_1_Col_3" caption="Product" rowHeight="247650"/>
</x14:slicers>
</file>

<file path=xl/tables/table1.xml><?xml version="1.0" encoding="utf-8"?>
<table xmlns="http://schemas.openxmlformats.org/spreadsheetml/2006/main" ref="A1:E21" displayName="Table_1" name="Table_1" id="1">
  <autoFilter ref="$A$1:$E$21"/>
  <tableColumns count="5">
    <tableColumn name="Date" id="1"/>
    <tableColumn name="Region" id="2"/>
    <tableColumn name="Product" id="3"/>
    <tableColumn name="Sales" id="4"/>
    <tableColumn name="Quantity" id="5"/>
  </tableColumns>
  <tableStyleInfo showColumnStripes="0" showFirstColumn="0" showLastColumn="0" showRowStripes="0"/>
</table>
</file>

<file path=xl/tables/table2.xml><?xml version="1.0" encoding="utf-8"?>
<table xmlns="http://schemas.openxmlformats.org/spreadsheetml/2006/main" ref="A11:E31" displayName="Table_2" name="Table_2" id="2">
  <autoFilter ref="$A$11:$E$31"/>
  <tableColumns count="5">
    <tableColumn name="Date" id="1"/>
    <tableColumn name="Region" id="2"/>
    <tableColumn name="Product" id="3"/>
    <tableColumn name="Sales" id="4"/>
    <tableColumn name="Quantity"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 Id="rId4" Type="http://schemas.openxmlformats.org/officeDocument/2006/relationships/table" Target="../tables/table2.xml"/><Relationship Id="rId5"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drawing" Target="../drawings/drawing5.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ht="15.75" customHeight="1">
      <c r="D1" s="2" t="s">
        <v>2</v>
      </c>
    </row>
    <row r="2" ht="15.75" customHeight="1"/>
    <row r="3" ht="15.75" customHeight="1">
      <c r="D3" s="4" t="s">
        <v>5</v>
      </c>
    </row>
    <row r="4" ht="15.75" customHeight="1"/>
    <row r="5" ht="15.75" customHeight="1"/>
    <row r="6" ht="15.75" customHeight="1">
      <c r="D6" s="4"/>
      <c r="E6" s="4"/>
      <c r="F6" s="4"/>
      <c r="G6" s="4"/>
      <c r="H6" s="4"/>
    </row>
    <row r="7" ht="15.75" customHeight="1">
      <c r="D7" s="4"/>
      <c r="E7" s="4"/>
      <c r="F7" s="4"/>
      <c r="G7" s="4"/>
      <c r="H7" s="4"/>
    </row>
    <row r="8" ht="15.75" customHeight="1">
      <c r="D8" s="5"/>
      <c r="E8" s="5"/>
      <c r="F8" s="5"/>
      <c r="G8" s="5"/>
      <c r="H8" s="5"/>
    </row>
    <row r="9" ht="15.75" customHeight="1">
      <c r="A9" s="6" t="s">
        <v>9</v>
      </c>
    </row>
    <row r="10" ht="15.75" customHeight="1"/>
    <row r="11" ht="15.75" customHeight="1">
      <c r="A11" s="7" t="s">
        <v>10</v>
      </c>
    </row>
    <row r="12" ht="15.75" customHeight="1"/>
    <row r="13" ht="15.75" customHeight="1"/>
    <row r="14" ht="15.75" customHeight="1"/>
    <row r="15" ht="15.75" customHeight="1"/>
    <row r="16" ht="15.75" customHeight="1">
      <c r="A16" s="7"/>
      <c r="B16" s="7"/>
      <c r="C16" s="7"/>
      <c r="D16" s="7"/>
      <c r="E16" s="7"/>
    </row>
    <row r="17" ht="15.75" customHeight="1">
      <c r="A17" s="8"/>
      <c r="B17" s="8"/>
      <c r="C17" s="8"/>
      <c r="D17" s="8"/>
      <c r="E17" s="8"/>
    </row>
    <row r="18" ht="15.75" customHeight="1">
      <c r="A18" s="9"/>
      <c r="B18" s="10"/>
      <c r="C18" s="10"/>
      <c r="D18" s="11"/>
      <c r="E18" s="10"/>
    </row>
    <row r="19" ht="15.75" customHeight="1">
      <c r="A19" s="9"/>
      <c r="B19" s="10"/>
      <c r="C19" s="10"/>
      <c r="D19" s="11"/>
      <c r="E19" s="10"/>
    </row>
    <row r="20" ht="15.75" customHeight="1">
      <c r="A20" s="9"/>
      <c r="B20" s="10"/>
      <c r="C20" s="10"/>
      <c r="D20" s="11"/>
      <c r="E20" s="10"/>
    </row>
    <row r="21" ht="15.75" customHeight="1">
      <c r="A21" s="9"/>
      <c r="B21" s="10"/>
      <c r="C21" s="10"/>
      <c r="D21" s="11"/>
      <c r="E21" s="10"/>
    </row>
    <row r="22" ht="15.75" customHeight="1">
      <c r="A22" s="9"/>
      <c r="B22" s="10"/>
      <c r="C22" s="10"/>
      <c r="D22" s="11"/>
      <c r="E22" s="10"/>
    </row>
    <row r="23" ht="15.75" customHeight="1">
      <c r="A23" s="9"/>
      <c r="B23" s="10"/>
      <c r="C23" s="10"/>
      <c r="D23" s="11"/>
      <c r="E23" s="10"/>
    </row>
    <row r="24" ht="15.75" customHeight="1">
      <c r="A24" s="9"/>
      <c r="B24" s="10"/>
      <c r="C24" s="10"/>
      <c r="D24" s="11"/>
      <c r="E24" s="10"/>
    </row>
    <row r="25" ht="15.75" customHeight="1">
      <c r="A25" s="9"/>
      <c r="B25" s="10"/>
      <c r="C25" s="10"/>
      <c r="D25" s="11"/>
      <c r="E25" s="10"/>
    </row>
    <row r="26" ht="15.75" customHeight="1">
      <c r="A26" s="9"/>
      <c r="B26" s="10"/>
      <c r="C26" s="10"/>
      <c r="D26" s="11"/>
      <c r="E26" s="10"/>
    </row>
    <row r="27" ht="15.75" customHeight="1">
      <c r="A27" s="9"/>
      <c r="B27" s="10"/>
      <c r="C27" s="10"/>
      <c r="D27" s="11"/>
      <c r="E27" s="10"/>
    </row>
    <row r="28" ht="15.75" customHeight="1">
      <c r="A28" s="9"/>
      <c r="B28" s="10"/>
      <c r="C28" s="10"/>
      <c r="D28" s="11"/>
      <c r="E28" s="10"/>
    </row>
    <row r="29" ht="15.75" customHeight="1">
      <c r="A29" s="9"/>
      <c r="B29" s="10"/>
      <c r="C29" s="10"/>
      <c r="D29" s="11"/>
      <c r="E29" s="10"/>
    </row>
    <row r="30" ht="15.75" customHeight="1">
      <c r="A30" s="9"/>
      <c r="B30" s="10"/>
      <c r="C30" s="10"/>
      <c r="D30" s="11"/>
      <c r="E30" s="10"/>
    </row>
    <row r="31" ht="15.75" customHeight="1">
      <c r="A31" s="9"/>
      <c r="B31" s="10"/>
      <c r="C31" s="10"/>
      <c r="D31" s="11"/>
      <c r="E31" s="10"/>
    </row>
    <row r="32" ht="15.75" customHeight="1">
      <c r="A32" s="9"/>
      <c r="B32" s="10"/>
      <c r="C32" s="10"/>
      <c r="D32" s="11"/>
      <c r="E32" s="10"/>
    </row>
    <row r="33" ht="15.75" customHeight="1">
      <c r="A33" s="9"/>
      <c r="B33" s="10"/>
      <c r="C33" s="10"/>
      <c r="D33" s="11"/>
      <c r="E33" s="10"/>
    </row>
    <row r="34" ht="15.75" customHeight="1">
      <c r="A34" s="9"/>
      <c r="B34" s="10"/>
      <c r="C34" s="10"/>
      <c r="D34" s="11"/>
      <c r="E34" s="10"/>
    </row>
    <row r="35" ht="15.75" customHeight="1">
      <c r="A35" s="9"/>
      <c r="B35" s="10"/>
      <c r="C35" s="10"/>
      <c r="D35" s="11"/>
      <c r="E35" s="10"/>
    </row>
    <row r="36" ht="15.75" customHeight="1">
      <c r="A36" s="9"/>
      <c r="B36" s="10"/>
      <c r="C36" s="10"/>
      <c r="D36" s="11"/>
      <c r="E36" s="10"/>
    </row>
    <row r="37" ht="15.75" customHeight="1">
      <c r="A37" s="9"/>
      <c r="B37" s="10"/>
      <c r="C37" s="10"/>
      <c r="D37" s="11"/>
      <c r="E37" s="10"/>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H2"/>
    <mergeCell ref="D3:H5"/>
    <mergeCell ref="A9:E10"/>
    <mergeCell ref="A11:E15"/>
  </mergeCell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2" t="s">
        <v>11</v>
      </c>
      <c r="B1" s="12" t="s">
        <v>0</v>
      </c>
      <c r="C1" s="12" t="s">
        <v>12</v>
      </c>
      <c r="D1" s="12" t="s">
        <v>13</v>
      </c>
      <c r="E1" s="12" t="s">
        <v>14</v>
      </c>
      <c r="G1" s="2" t="s">
        <v>15</v>
      </c>
      <c r="M1" s="13"/>
      <c r="N1" s="13"/>
    </row>
    <row r="2" ht="15.75" customHeight="1">
      <c r="A2" s="14">
        <v>45292.0</v>
      </c>
      <c r="B2" s="15" t="s">
        <v>7</v>
      </c>
      <c r="C2" s="15" t="s">
        <v>16</v>
      </c>
      <c r="D2" s="16">
        <v>497.0</v>
      </c>
      <c r="E2" s="15">
        <v>93.0</v>
      </c>
      <c r="M2" s="13"/>
      <c r="N2" s="13"/>
    </row>
    <row r="3" ht="15.75" customHeight="1">
      <c r="A3" s="14">
        <v>45301.0</v>
      </c>
      <c r="B3" s="15" t="s">
        <v>6</v>
      </c>
      <c r="C3" s="15" t="s">
        <v>17</v>
      </c>
      <c r="D3" s="16">
        <v>483.0</v>
      </c>
      <c r="E3" s="15">
        <v>56.0</v>
      </c>
      <c r="G3" s="13"/>
      <c r="H3" s="13"/>
      <c r="I3" s="13"/>
      <c r="J3" s="13"/>
      <c r="K3" s="13"/>
      <c r="L3" s="13"/>
      <c r="M3" s="13"/>
      <c r="N3" s="13"/>
    </row>
    <row r="4" ht="15.75" customHeight="1">
      <c r="A4" s="14">
        <v>45311.0</v>
      </c>
      <c r="B4" s="15" t="s">
        <v>6</v>
      </c>
      <c r="C4" s="15" t="s">
        <v>16</v>
      </c>
      <c r="D4" s="16">
        <v>467.0</v>
      </c>
      <c r="E4" s="15">
        <v>76.0</v>
      </c>
      <c r="G4" s="2" t="s">
        <v>18</v>
      </c>
      <c r="M4" s="13"/>
      <c r="N4" s="13"/>
    </row>
    <row r="5" ht="15.75" customHeight="1">
      <c r="A5" s="14">
        <v>45320.0</v>
      </c>
      <c r="B5" s="15" t="s">
        <v>7</v>
      </c>
      <c r="C5" s="15" t="s">
        <v>19</v>
      </c>
      <c r="D5" s="16">
        <v>456.0</v>
      </c>
      <c r="E5" s="15">
        <v>37.0</v>
      </c>
      <c r="M5" s="13"/>
      <c r="N5" s="13"/>
    </row>
    <row r="6" ht="15.75" customHeight="1">
      <c r="A6" s="14">
        <v>45330.0</v>
      </c>
      <c r="B6" s="15" t="s">
        <v>7</v>
      </c>
      <c r="C6" s="15" t="s">
        <v>16</v>
      </c>
      <c r="D6" s="16">
        <v>441.0</v>
      </c>
      <c r="E6" s="15">
        <v>50.0</v>
      </c>
      <c r="M6" s="13"/>
      <c r="N6" s="13"/>
    </row>
    <row r="7" ht="15.75" customHeight="1">
      <c r="A7" s="14">
        <v>45339.0</v>
      </c>
      <c r="B7" s="15" t="s">
        <v>7</v>
      </c>
      <c r="C7" s="15" t="s">
        <v>17</v>
      </c>
      <c r="D7" s="16">
        <v>441.0</v>
      </c>
      <c r="E7" s="15">
        <v>52.0</v>
      </c>
      <c r="M7" s="13"/>
      <c r="N7" s="13"/>
    </row>
    <row r="8" ht="15.75" customHeight="1">
      <c r="A8" s="14">
        <v>45349.0</v>
      </c>
      <c r="B8" s="15" t="s">
        <v>6</v>
      </c>
      <c r="C8" s="15" t="s">
        <v>19</v>
      </c>
      <c r="D8" s="16">
        <v>417.0</v>
      </c>
      <c r="E8" s="15">
        <v>29.0</v>
      </c>
      <c r="G8" s="2"/>
      <c r="H8" s="2"/>
      <c r="I8" s="2"/>
      <c r="J8" s="2"/>
      <c r="K8" s="2"/>
      <c r="L8" s="2"/>
      <c r="M8" s="13"/>
      <c r="N8" s="13"/>
    </row>
    <row r="9" ht="15.75" customHeight="1">
      <c r="A9" s="14">
        <v>45358.0</v>
      </c>
      <c r="B9" s="15" t="s">
        <v>7</v>
      </c>
      <c r="C9" s="15" t="s">
        <v>19</v>
      </c>
      <c r="D9" s="16">
        <v>409.0</v>
      </c>
      <c r="E9" s="15">
        <v>44.0</v>
      </c>
      <c r="G9" s="13"/>
      <c r="H9" s="13"/>
      <c r="I9" s="13"/>
      <c r="J9" s="13"/>
      <c r="K9" s="13"/>
      <c r="L9" s="13"/>
      <c r="M9" s="13"/>
      <c r="N9" s="13"/>
    </row>
    <row r="10" ht="15.75" customHeight="1">
      <c r="A10" s="14">
        <v>45368.0</v>
      </c>
      <c r="B10" s="15" t="s">
        <v>6</v>
      </c>
      <c r="C10" s="15" t="s">
        <v>16</v>
      </c>
      <c r="D10" s="16">
        <v>398.0</v>
      </c>
      <c r="E10" s="15">
        <v>63.0</v>
      </c>
      <c r="G10" s="13"/>
      <c r="H10" s="13"/>
      <c r="I10" s="13"/>
      <c r="J10" s="13"/>
      <c r="K10" s="13"/>
      <c r="L10" s="13"/>
      <c r="M10" s="13"/>
      <c r="N10" s="13"/>
    </row>
    <row r="11" ht="15.75" customHeight="1">
      <c r="A11" s="14">
        <v>45377.0</v>
      </c>
      <c r="B11" s="15" t="s">
        <v>7</v>
      </c>
      <c r="C11" s="15" t="s">
        <v>17</v>
      </c>
      <c r="D11" s="16">
        <v>380.0</v>
      </c>
      <c r="E11" s="15">
        <v>79.0</v>
      </c>
      <c r="G11" s="2" t="s">
        <v>20</v>
      </c>
    </row>
    <row r="12" ht="15.75" customHeight="1">
      <c r="A12" s="14">
        <v>45387.0</v>
      </c>
      <c r="B12" s="15" t="s">
        <v>6</v>
      </c>
      <c r="C12" s="15" t="s">
        <v>16</v>
      </c>
      <c r="D12" s="16">
        <v>348.0</v>
      </c>
      <c r="E12" s="15">
        <v>23.0</v>
      </c>
    </row>
    <row r="13" ht="15.75" customHeight="1">
      <c r="A13" s="14">
        <v>45396.0</v>
      </c>
      <c r="B13" s="15" t="s">
        <v>7</v>
      </c>
      <c r="C13" s="15" t="s">
        <v>17</v>
      </c>
      <c r="D13" s="16">
        <v>347.0</v>
      </c>
      <c r="E13" s="15">
        <v>97.0</v>
      </c>
    </row>
    <row r="14" ht="15.75" customHeight="1">
      <c r="A14" s="14">
        <v>45406.0</v>
      </c>
      <c r="B14" s="15" t="s">
        <v>3</v>
      </c>
      <c r="C14" s="15" t="s">
        <v>16</v>
      </c>
      <c r="D14" s="16">
        <v>334.0</v>
      </c>
      <c r="E14" s="15">
        <v>97.0</v>
      </c>
      <c r="G14" s="7" t="s">
        <v>21</v>
      </c>
    </row>
    <row r="15" ht="15.75" customHeight="1">
      <c r="A15" s="14">
        <v>45415.0</v>
      </c>
      <c r="B15" s="15" t="s">
        <v>7</v>
      </c>
      <c r="C15" s="15" t="s">
        <v>16</v>
      </c>
      <c r="D15" s="16">
        <v>319.0</v>
      </c>
      <c r="E15" s="15">
        <v>92.0</v>
      </c>
    </row>
    <row r="16" ht="15.75" customHeight="1">
      <c r="A16" s="14">
        <v>45425.0</v>
      </c>
      <c r="B16" s="15" t="s">
        <v>6</v>
      </c>
      <c r="C16" s="15" t="s">
        <v>17</v>
      </c>
      <c r="D16" s="16">
        <v>281.0</v>
      </c>
      <c r="E16" s="15">
        <v>71.0</v>
      </c>
    </row>
    <row r="17" ht="15.75" customHeight="1">
      <c r="A17" s="14">
        <v>45434.0</v>
      </c>
      <c r="B17" s="15" t="s">
        <v>6</v>
      </c>
      <c r="C17" s="15" t="s">
        <v>16</v>
      </c>
      <c r="D17" s="16">
        <v>247.0</v>
      </c>
      <c r="E17" s="15">
        <v>81.0</v>
      </c>
    </row>
    <row r="18" ht="15.75" customHeight="1">
      <c r="A18" s="14">
        <v>45444.0</v>
      </c>
      <c r="B18" s="15" t="s">
        <v>7</v>
      </c>
      <c r="C18" s="15" t="s">
        <v>17</v>
      </c>
      <c r="D18" s="16">
        <v>230.0</v>
      </c>
      <c r="E18" s="15">
        <v>45.0</v>
      </c>
    </row>
    <row r="19" ht="15.75" customHeight="1">
      <c r="A19" s="14">
        <v>45453.0</v>
      </c>
      <c r="B19" s="15" t="s">
        <v>7</v>
      </c>
      <c r="C19" s="15" t="s">
        <v>19</v>
      </c>
      <c r="D19" s="16">
        <v>205.0</v>
      </c>
      <c r="E19" s="15">
        <v>33.0</v>
      </c>
    </row>
    <row r="20" ht="15.75" customHeight="1">
      <c r="A20" s="14">
        <v>45463.0</v>
      </c>
      <c r="B20" s="15" t="s">
        <v>4</v>
      </c>
      <c r="C20" s="15" t="s">
        <v>17</v>
      </c>
      <c r="D20" s="16">
        <v>76.0</v>
      </c>
      <c r="E20" s="15">
        <v>35.0</v>
      </c>
    </row>
    <row r="21" ht="15.75" customHeight="1">
      <c r="A21" s="14">
        <v>45473.0</v>
      </c>
      <c r="B21" s="15" t="s">
        <v>6</v>
      </c>
      <c r="C21" s="15" t="s">
        <v>19</v>
      </c>
      <c r="D21" s="16">
        <v>53.0</v>
      </c>
      <c r="E21" s="15">
        <v>45.0</v>
      </c>
      <c r="G21" s="7"/>
      <c r="H21" s="7"/>
      <c r="I21" s="7"/>
      <c r="J21" s="7"/>
      <c r="K21" s="7"/>
      <c r="L21" s="7"/>
      <c r="M21" s="7"/>
      <c r="N21" s="7"/>
    </row>
    <row r="22" ht="15.75" customHeight="1">
      <c r="G22" s="8"/>
      <c r="H22" s="8"/>
      <c r="I22" s="8"/>
      <c r="J22" s="8"/>
      <c r="K22" s="8"/>
    </row>
    <row r="23" ht="15.75" customHeight="1">
      <c r="G23" s="8"/>
      <c r="H23" s="8"/>
      <c r="I23" s="8"/>
      <c r="J23" s="8"/>
      <c r="K23" s="8"/>
    </row>
    <row r="24" ht="15.75" customHeight="1">
      <c r="G24" s="12" t="s">
        <v>11</v>
      </c>
      <c r="H24" s="12" t="s">
        <v>0</v>
      </c>
      <c r="I24" s="12" t="s">
        <v>12</v>
      </c>
      <c r="J24" s="12" t="s">
        <v>13</v>
      </c>
      <c r="K24" s="12" t="s">
        <v>14</v>
      </c>
    </row>
    <row r="25" ht="15.75" customHeight="1">
      <c r="G25" s="14">
        <v>45292.0</v>
      </c>
      <c r="H25" s="15" t="s">
        <v>7</v>
      </c>
      <c r="I25" s="15" t="s">
        <v>16</v>
      </c>
      <c r="J25" s="16">
        <v>497.0</v>
      </c>
      <c r="K25" s="15">
        <v>93.0</v>
      </c>
    </row>
    <row r="26" ht="15.75" hidden="1" customHeight="1">
      <c r="G26" s="14">
        <v>45301.0</v>
      </c>
      <c r="H26" s="15" t="s">
        <v>6</v>
      </c>
      <c r="I26" s="15" t="s">
        <v>17</v>
      </c>
      <c r="J26" s="16">
        <v>483.0</v>
      </c>
      <c r="K26" s="15">
        <v>56.0</v>
      </c>
    </row>
    <row r="27" ht="15.75" hidden="1" customHeight="1">
      <c r="G27" s="14">
        <v>45311.0</v>
      </c>
      <c r="H27" s="15" t="s">
        <v>6</v>
      </c>
      <c r="I27" s="15" t="s">
        <v>16</v>
      </c>
      <c r="J27" s="16">
        <v>467.0</v>
      </c>
      <c r="K27" s="15">
        <v>76.0</v>
      </c>
    </row>
    <row r="28" ht="15.75" customHeight="1">
      <c r="G28" s="14">
        <v>45320.0</v>
      </c>
      <c r="H28" s="15" t="s">
        <v>7</v>
      </c>
      <c r="I28" s="15" t="s">
        <v>19</v>
      </c>
      <c r="J28" s="16">
        <v>456.0</v>
      </c>
      <c r="K28" s="15">
        <v>37.0</v>
      </c>
    </row>
    <row r="29" ht="15.75" customHeight="1">
      <c r="G29" s="14">
        <v>45330.0</v>
      </c>
      <c r="H29" s="15" t="s">
        <v>7</v>
      </c>
      <c r="I29" s="15" t="s">
        <v>16</v>
      </c>
      <c r="J29" s="16">
        <v>441.0</v>
      </c>
      <c r="K29" s="15">
        <v>50.0</v>
      </c>
    </row>
    <row r="30" ht="15.75" customHeight="1">
      <c r="G30" s="14">
        <v>45339.0</v>
      </c>
      <c r="H30" s="15" t="s">
        <v>7</v>
      </c>
      <c r="I30" s="15" t="s">
        <v>17</v>
      </c>
      <c r="J30" s="16">
        <v>441.0</v>
      </c>
      <c r="K30" s="15">
        <v>52.0</v>
      </c>
    </row>
    <row r="31" ht="15.75" hidden="1" customHeight="1">
      <c r="G31" s="14">
        <v>45349.0</v>
      </c>
      <c r="H31" s="15" t="s">
        <v>6</v>
      </c>
      <c r="I31" s="15" t="s">
        <v>19</v>
      </c>
      <c r="J31" s="16">
        <v>417.0</v>
      </c>
      <c r="K31" s="15">
        <v>29.0</v>
      </c>
    </row>
    <row r="32" ht="15.75" customHeight="1">
      <c r="G32" s="14">
        <v>45358.0</v>
      </c>
      <c r="H32" s="15" t="s">
        <v>7</v>
      </c>
      <c r="I32" s="15" t="s">
        <v>19</v>
      </c>
      <c r="J32" s="16">
        <v>409.0</v>
      </c>
      <c r="K32" s="15">
        <v>44.0</v>
      </c>
    </row>
    <row r="33" ht="15.75" hidden="1" customHeight="1">
      <c r="G33" s="14">
        <v>45368.0</v>
      </c>
      <c r="H33" s="15" t="s">
        <v>6</v>
      </c>
      <c r="I33" s="15" t="s">
        <v>16</v>
      </c>
      <c r="J33" s="16">
        <v>398.0</v>
      </c>
      <c r="K33" s="15">
        <v>63.0</v>
      </c>
    </row>
    <row r="34" ht="15.75" customHeight="1">
      <c r="G34" s="14">
        <v>45377.0</v>
      </c>
      <c r="H34" s="15" t="s">
        <v>7</v>
      </c>
      <c r="I34" s="15" t="s">
        <v>17</v>
      </c>
      <c r="J34" s="16">
        <v>380.0</v>
      </c>
      <c r="K34" s="15">
        <v>79.0</v>
      </c>
    </row>
    <row r="35" ht="15.75" hidden="1" customHeight="1">
      <c r="G35" s="14">
        <v>45387.0</v>
      </c>
      <c r="H35" s="15" t="s">
        <v>6</v>
      </c>
      <c r="I35" s="15" t="s">
        <v>16</v>
      </c>
      <c r="J35" s="16">
        <v>348.0</v>
      </c>
      <c r="K35" s="15">
        <v>23.0</v>
      </c>
    </row>
    <row r="36" ht="15.75" customHeight="1">
      <c r="G36" s="14">
        <v>45396.0</v>
      </c>
      <c r="H36" s="15" t="s">
        <v>7</v>
      </c>
      <c r="I36" s="15" t="s">
        <v>17</v>
      </c>
      <c r="J36" s="16">
        <v>347.0</v>
      </c>
      <c r="K36" s="15">
        <v>97.0</v>
      </c>
    </row>
    <row r="37" ht="15.75" hidden="1" customHeight="1">
      <c r="G37" s="14">
        <v>45406.0</v>
      </c>
      <c r="H37" s="15" t="s">
        <v>3</v>
      </c>
      <c r="I37" s="15" t="s">
        <v>16</v>
      </c>
      <c r="J37" s="16">
        <v>334.0</v>
      </c>
      <c r="K37" s="15">
        <v>97.0</v>
      </c>
    </row>
    <row r="38" ht="15.75" customHeight="1">
      <c r="G38" s="14">
        <v>45415.0</v>
      </c>
      <c r="H38" s="15" t="s">
        <v>7</v>
      </c>
      <c r="I38" s="15" t="s">
        <v>16</v>
      </c>
      <c r="J38" s="16">
        <v>319.0</v>
      </c>
      <c r="K38" s="15">
        <v>92.0</v>
      </c>
    </row>
    <row r="39" ht="15.75" hidden="1" customHeight="1">
      <c r="G39" s="14">
        <v>45425.0</v>
      </c>
      <c r="H39" s="15" t="s">
        <v>6</v>
      </c>
      <c r="I39" s="15" t="s">
        <v>17</v>
      </c>
      <c r="J39" s="16">
        <v>281.0</v>
      </c>
      <c r="K39" s="15">
        <v>71.0</v>
      </c>
    </row>
    <row r="40" ht="15.75" hidden="1" customHeight="1">
      <c r="G40" s="14">
        <v>45434.0</v>
      </c>
      <c r="H40" s="15" t="s">
        <v>6</v>
      </c>
      <c r="I40" s="15" t="s">
        <v>16</v>
      </c>
      <c r="J40" s="16">
        <v>247.0</v>
      </c>
      <c r="K40" s="15">
        <v>81.0</v>
      </c>
    </row>
    <row r="41" ht="15.75" customHeight="1">
      <c r="G41" s="14">
        <v>45444.0</v>
      </c>
      <c r="H41" s="15" t="s">
        <v>7</v>
      </c>
      <c r="I41" s="15" t="s">
        <v>17</v>
      </c>
      <c r="J41" s="16">
        <v>230.0</v>
      </c>
      <c r="K41" s="15">
        <v>45.0</v>
      </c>
    </row>
    <row r="42" ht="15.75" customHeight="1">
      <c r="G42" s="14">
        <v>45453.0</v>
      </c>
      <c r="H42" s="15" t="s">
        <v>7</v>
      </c>
      <c r="I42" s="15" t="s">
        <v>19</v>
      </c>
      <c r="J42" s="16">
        <v>205.0</v>
      </c>
      <c r="K42" s="15">
        <v>33.0</v>
      </c>
    </row>
    <row r="43" ht="15.75" hidden="1" customHeight="1">
      <c r="G43" s="14">
        <v>45463.0</v>
      </c>
      <c r="H43" s="15" t="s">
        <v>4</v>
      </c>
      <c r="I43" s="15" t="s">
        <v>17</v>
      </c>
      <c r="J43" s="16">
        <v>76.0</v>
      </c>
      <c r="K43" s="15">
        <v>35.0</v>
      </c>
    </row>
    <row r="44" ht="15.75" hidden="1" customHeight="1">
      <c r="G44" s="14">
        <v>45473.0</v>
      </c>
      <c r="H44" s="15" t="s">
        <v>6</v>
      </c>
      <c r="I44" s="15" t="s">
        <v>19</v>
      </c>
      <c r="J44" s="16">
        <v>53.0</v>
      </c>
      <c r="K44" s="15">
        <v>45.0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24:$K$44">
    <filterColumn colId="1">
      <filters>
        <filter val="West"/>
      </filters>
    </filterColumn>
  </autoFilter>
  <customSheetViews>
    <customSheetView guid="{A355BAB0-CFE9-45E5-9408-B3897C6C0B4D}" filter="1" showAutoFilter="1">
      <autoFilter ref="$A$1:$E$21"/>
      <extLst>
        <ext uri="GoogleSheetsCustomDataVersion1">
          <go:sheetsCustomData xmlns:go="http://customooxmlschemas.google.com/" filterViewId="208182306"/>
        </ext>
      </extLst>
    </customSheetView>
    <customSheetView guid="{65C2321C-F982-4F01-930B-E9A175D9AF75}" filter="1" showAutoFilter="1">
      <autoFilter ref="$A$1:$E$21"/>
      <extLst>
        <ext uri="GoogleSheetsCustomDataVersion1">
          <go:sheetsCustomData xmlns:go="http://customooxmlschemas.google.com/" filterViewId="976816120"/>
        </ext>
      </extLst>
    </customSheetView>
  </customSheetViews>
  <mergeCells count="4">
    <mergeCell ref="G1:L2"/>
    <mergeCell ref="G4:L7"/>
    <mergeCell ref="G11:N12"/>
    <mergeCell ref="G14:N20"/>
  </mergeCells>
  <conditionalFormatting sqref="D2:D21 J25:J44">
    <cfRule type="cellIs" dxfId="1" priority="1" operator="greaterThan">
      <formula>400</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ht="15.75" customHeight="1">
      <c r="D1" s="17" t="s">
        <v>23</v>
      </c>
    </row>
    <row r="2" ht="15.75" customHeight="1"/>
    <row r="3" ht="15.75" customHeight="1"/>
    <row r="4" ht="15.75" customHeight="1">
      <c r="D4" s="10" t="s">
        <v>27</v>
      </c>
    </row>
    <row r="5" ht="15.75" customHeight="1"/>
    <row r="6" ht="15.75" customHeight="1"/>
    <row r="7" ht="15.75" customHeight="1"/>
    <row r="8" ht="15.75" customHeight="1">
      <c r="D8" s="10"/>
      <c r="E8" s="10"/>
      <c r="F8" s="10"/>
      <c r="G8" s="10"/>
      <c r="H8" s="10"/>
    </row>
    <row r="9" ht="15.75" customHeight="1">
      <c r="D9" s="10"/>
      <c r="E9" s="10"/>
      <c r="F9" s="10"/>
      <c r="G9" s="10"/>
      <c r="H9" s="10"/>
    </row>
    <row r="10" ht="15.75" customHeight="1">
      <c r="D10" s="10"/>
      <c r="E10" s="10"/>
      <c r="F10" s="10"/>
      <c r="G10" s="10"/>
      <c r="H10" s="10"/>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1:H2"/>
    <mergeCell ref="D4:H7"/>
  </mergeCell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ht="15.75" customHeight="1">
      <c r="F1" s="19" t="s">
        <v>31</v>
      </c>
    </row>
    <row r="2" ht="15.75" customHeight="1"/>
    <row r="3" ht="15.75" customHeight="1"/>
    <row r="4" ht="15.75" customHeight="1">
      <c r="F4" s="20" t="s">
        <v>32</v>
      </c>
    </row>
    <row r="5" ht="15.75" customHeight="1"/>
    <row r="6" ht="15.75" customHeight="1"/>
    <row r="7" ht="15.75" customHeight="1"/>
    <row r="8" ht="15.75" customHeight="1"/>
    <row r="9" ht="15.75" customHeight="1"/>
    <row r="10" ht="15.75" customHeight="1"/>
    <row r="11" ht="15.75" customHeight="1">
      <c r="A11" s="12" t="s">
        <v>11</v>
      </c>
      <c r="B11" s="12" t="s">
        <v>0</v>
      </c>
      <c r="C11" s="12" t="s">
        <v>12</v>
      </c>
      <c r="D11" s="12" t="s">
        <v>13</v>
      </c>
      <c r="E11" s="12" t="s">
        <v>14</v>
      </c>
    </row>
    <row r="12" ht="15.75" customHeight="1">
      <c r="A12" s="14">
        <v>45292.0</v>
      </c>
      <c r="B12" s="15" t="s">
        <v>7</v>
      </c>
      <c r="C12" s="15" t="s">
        <v>16</v>
      </c>
      <c r="D12" s="16">
        <v>497.0</v>
      </c>
      <c r="E12" s="15">
        <v>93.0</v>
      </c>
    </row>
    <row r="13" ht="15.75" customHeight="1">
      <c r="A13" s="14">
        <v>45301.0</v>
      </c>
      <c r="B13" s="15" t="s">
        <v>6</v>
      </c>
      <c r="C13" s="15" t="s">
        <v>17</v>
      </c>
      <c r="D13" s="16">
        <v>483.0</v>
      </c>
      <c r="E13" s="15">
        <v>56.0</v>
      </c>
    </row>
    <row r="14" ht="15.75" customHeight="1">
      <c r="A14" s="14">
        <v>45311.0</v>
      </c>
      <c r="B14" s="15" t="s">
        <v>6</v>
      </c>
      <c r="C14" s="15" t="s">
        <v>16</v>
      </c>
      <c r="D14" s="16">
        <v>467.0</v>
      </c>
      <c r="E14" s="15">
        <v>76.0</v>
      </c>
    </row>
    <row r="15" ht="15.75" customHeight="1">
      <c r="A15" s="14">
        <v>45320.0</v>
      </c>
      <c r="B15" s="15" t="s">
        <v>7</v>
      </c>
      <c r="C15" s="15" t="s">
        <v>19</v>
      </c>
      <c r="D15" s="16">
        <v>456.0</v>
      </c>
      <c r="E15" s="15">
        <v>37.0</v>
      </c>
    </row>
    <row r="16" ht="15.75" customHeight="1">
      <c r="A16" s="14">
        <v>45330.0</v>
      </c>
      <c r="B16" s="15" t="s">
        <v>7</v>
      </c>
      <c r="C16" s="15" t="s">
        <v>16</v>
      </c>
      <c r="D16" s="16">
        <v>441.0</v>
      </c>
      <c r="E16" s="15">
        <v>50.0</v>
      </c>
    </row>
    <row r="17" ht="15.75" customHeight="1">
      <c r="A17" s="14">
        <v>45339.0</v>
      </c>
      <c r="B17" s="15" t="s">
        <v>7</v>
      </c>
      <c r="C17" s="15" t="s">
        <v>17</v>
      </c>
      <c r="D17" s="16">
        <v>441.0</v>
      </c>
      <c r="E17" s="15">
        <v>52.0</v>
      </c>
    </row>
    <row r="18" ht="15.75" customHeight="1">
      <c r="A18" s="14">
        <v>45349.0</v>
      </c>
      <c r="B18" s="15" t="s">
        <v>6</v>
      </c>
      <c r="C18" s="15" t="s">
        <v>19</v>
      </c>
      <c r="D18" s="16">
        <v>417.0</v>
      </c>
      <c r="E18" s="15">
        <v>29.0</v>
      </c>
    </row>
    <row r="19" ht="15.75" customHeight="1">
      <c r="A19" s="14">
        <v>45358.0</v>
      </c>
      <c r="B19" s="15" t="s">
        <v>7</v>
      </c>
      <c r="C19" s="15" t="s">
        <v>19</v>
      </c>
      <c r="D19" s="16">
        <v>409.0</v>
      </c>
      <c r="E19" s="15">
        <v>44.0</v>
      </c>
    </row>
    <row r="20" ht="15.75" customHeight="1">
      <c r="A20" s="14">
        <v>45368.0</v>
      </c>
      <c r="B20" s="15" t="s">
        <v>6</v>
      </c>
      <c r="C20" s="15" t="s">
        <v>16</v>
      </c>
      <c r="D20" s="16">
        <v>398.0</v>
      </c>
      <c r="E20" s="15">
        <v>63.0</v>
      </c>
    </row>
    <row r="21" ht="15.75" customHeight="1">
      <c r="A21" s="14">
        <v>45377.0</v>
      </c>
      <c r="B21" s="15" t="s">
        <v>7</v>
      </c>
      <c r="C21" s="15" t="s">
        <v>17</v>
      </c>
      <c r="D21" s="16">
        <v>380.0</v>
      </c>
      <c r="E21" s="15">
        <v>79.0</v>
      </c>
    </row>
    <row r="22" ht="15.75" customHeight="1">
      <c r="A22" s="14">
        <v>45387.0</v>
      </c>
      <c r="B22" s="15" t="s">
        <v>6</v>
      </c>
      <c r="C22" s="15" t="s">
        <v>16</v>
      </c>
      <c r="D22" s="16">
        <v>348.0</v>
      </c>
      <c r="E22" s="15">
        <v>23.0</v>
      </c>
    </row>
    <row r="23" ht="15.75" customHeight="1">
      <c r="A23" s="14">
        <v>45396.0</v>
      </c>
      <c r="B23" s="15" t="s">
        <v>7</v>
      </c>
      <c r="C23" s="15" t="s">
        <v>17</v>
      </c>
      <c r="D23" s="16">
        <v>347.0</v>
      </c>
      <c r="E23" s="15">
        <v>97.0</v>
      </c>
    </row>
    <row r="24" ht="15.75" customHeight="1">
      <c r="A24" s="14">
        <v>45406.0</v>
      </c>
      <c r="B24" s="15" t="s">
        <v>3</v>
      </c>
      <c r="C24" s="15" t="s">
        <v>16</v>
      </c>
      <c r="D24" s="16">
        <v>334.0</v>
      </c>
      <c r="E24" s="15">
        <v>97.0</v>
      </c>
    </row>
    <row r="25" ht="15.75" customHeight="1">
      <c r="A25" s="14">
        <v>45415.0</v>
      </c>
      <c r="B25" s="15" t="s">
        <v>7</v>
      </c>
      <c r="C25" s="15" t="s">
        <v>16</v>
      </c>
      <c r="D25" s="16">
        <v>319.0</v>
      </c>
      <c r="E25" s="15">
        <v>92.0</v>
      </c>
    </row>
    <row r="26" ht="15.75" customHeight="1">
      <c r="A26" s="14">
        <v>45425.0</v>
      </c>
      <c r="B26" s="15" t="s">
        <v>6</v>
      </c>
      <c r="C26" s="15" t="s">
        <v>17</v>
      </c>
      <c r="D26" s="16">
        <v>281.0</v>
      </c>
      <c r="E26" s="15">
        <v>71.0</v>
      </c>
    </row>
    <row r="27" ht="15.75" customHeight="1">
      <c r="A27" s="14">
        <v>45434.0</v>
      </c>
      <c r="B27" s="15" t="s">
        <v>6</v>
      </c>
      <c r="C27" s="15" t="s">
        <v>16</v>
      </c>
      <c r="D27" s="16">
        <v>247.0</v>
      </c>
      <c r="E27" s="15">
        <v>81.0</v>
      </c>
    </row>
    <row r="28" ht="15.75" customHeight="1">
      <c r="A28" s="14">
        <v>45444.0</v>
      </c>
      <c r="B28" s="15" t="s">
        <v>7</v>
      </c>
      <c r="C28" s="15" t="s">
        <v>17</v>
      </c>
      <c r="D28" s="16">
        <v>230.0</v>
      </c>
      <c r="E28" s="15">
        <v>45.0</v>
      </c>
    </row>
    <row r="29" ht="15.75" customHeight="1">
      <c r="A29" s="14">
        <v>45453.0</v>
      </c>
      <c r="B29" s="15" t="s">
        <v>7</v>
      </c>
      <c r="C29" s="15" t="s">
        <v>19</v>
      </c>
      <c r="D29" s="16">
        <v>205.0</v>
      </c>
      <c r="E29" s="15">
        <v>33.0</v>
      </c>
    </row>
    <row r="30" ht="15.75" customHeight="1">
      <c r="A30" s="14">
        <v>45463.0</v>
      </c>
      <c r="B30" s="15" t="s">
        <v>4</v>
      </c>
      <c r="C30" s="15" t="s">
        <v>17</v>
      </c>
      <c r="D30" s="16">
        <v>76.0</v>
      </c>
      <c r="E30" s="15">
        <v>35.0</v>
      </c>
    </row>
    <row r="31" ht="15.75" customHeight="1">
      <c r="A31" s="14">
        <v>45473.0</v>
      </c>
      <c r="B31" s="15" t="s">
        <v>6</v>
      </c>
      <c r="C31" s="15" t="s">
        <v>19</v>
      </c>
      <c r="D31" s="16">
        <v>53.0</v>
      </c>
      <c r="E31" s="15">
        <v>45.0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5C2321C-F982-4F01-930B-E9A175D9AF75}" filter="1" showAutoFilter="1">
      <autoFilter ref="$A$11:$E$31"/>
      <extLst>
        <ext uri="GoogleSheetsCustomDataVersion1">
          <go:sheetsCustomData xmlns:go="http://customooxmlschemas.google.com/" filterViewId="1844570704"/>
        </ext>
      </extLst>
    </customSheetView>
    <customSheetView guid="{A355BAB0-CFE9-45E5-9408-B3897C6C0B4D}" filter="1" showAutoFilter="1">
      <autoFilter ref="$A$11:$E$31"/>
      <extLst>
        <ext uri="GoogleSheetsCustomDataVersion1">
          <go:sheetsCustomData xmlns:go="http://customooxmlschemas.google.com/" filterViewId="2115734958"/>
        </ext>
      </extLst>
    </customSheetView>
  </customSheetViews>
  <mergeCells count="2">
    <mergeCell ref="F1:J2"/>
    <mergeCell ref="F4:J9"/>
  </mergeCells>
  <drawing r:id="rId2"/>
  <tableParts count="1">
    <tablePart r:id="rId4"/>
  </tableParts>
  <extLst>
    <ext uri="{3A4CF648-6AED-40f4-86FF-DC5316D8AED3}">
      <x14:slicerList>
        <x14:slicer r:id="rId5"/>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ht="15.75" customHeight="1">
      <c r="A1" s="21" t="s">
        <v>33</v>
      </c>
      <c r="B1" s="22"/>
      <c r="C1" s="22"/>
      <c r="D1" s="22"/>
      <c r="E1" s="22"/>
      <c r="F1" s="22"/>
      <c r="G1" s="23"/>
      <c r="I1" s="24" t="s">
        <v>34</v>
      </c>
      <c r="M1" s="24"/>
    </row>
    <row r="2" ht="15.75" customHeight="1">
      <c r="A2" s="21" t="s">
        <v>35</v>
      </c>
      <c r="B2" s="23"/>
      <c r="C2" s="21" t="s">
        <v>36</v>
      </c>
      <c r="D2" s="23"/>
      <c r="E2" s="21" t="s">
        <v>37</v>
      </c>
      <c r="F2" s="22"/>
      <c r="G2" s="23"/>
      <c r="M2" s="24"/>
    </row>
    <row r="3" ht="15.75" customHeight="1">
      <c r="A3" s="25">
        <f>SUM(B7:B10)</f>
        <v>6829</v>
      </c>
      <c r="B3" s="23"/>
      <c r="C3" s="25">
        <f>AVERAGE(F7:F12)</f>
        <v>1138.166667</v>
      </c>
      <c r="D3" s="23"/>
      <c r="E3" s="26" t="str">
        <f t="array" ref="E3">INDEX(A7:A10, MATCH(MAX(B7:B10),B7:B10,0))</f>
        <v>West</v>
      </c>
      <c r="F3" s="22"/>
      <c r="G3" s="23"/>
      <c r="I3" s="24" t="s">
        <v>38</v>
      </c>
      <c r="M3" s="24"/>
    </row>
    <row r="4" ht="15.75" customHeight="1">
      <c r="M4" s="24"/>
    </row>
    <row r="5" ht="15.75" customHeight="1">
      <c r="M5" s="24"/>
    </row>
    <row r="6" ht="15.75" customHeight="1"/>
    <row r="7" ht="15.75" customHeight="1"/>
    <row r="8" ht="15.75" customHeight="1"/>
    <row r="9" ht="15.75" customHeight="1"/>
    <row r="10" ht="15.75" customHeight="1">
      <c r="J10" s="24" t="s">
        <v>39</v>
      </c>
    </row>
    <row r="11" ht="15.75" customHeight="1"/>
    <row r="12" ht="15.75" customHeight="1"/>
    <row r="13" ht="15.75" customHeight="1"/>
    <row r="14" ht="15.75" customHeight="1"/>
    <row r="15" ht="15.75" customHeight="1"/>
    <row r="16" ht="15.75" customHeight="1">
      <c r="J16" s="20" t="s">
        <v>40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I1:L2"/>
    <mergeCell ref="I3:L8"/>
    <mergeCell ref="J10:M14"/>
    <mergeCell ref="J16:R37"/>
    <mergeCell ref="A1:G1"/>
    <mergeCell ref="A2:B2"/>
    <mergeCell ref="C2:D2"/>
    <mergeCell ref="E2:G2"/>
    <mergeCell ref="A3:B3"/>
    <mergeCell ref="C3:D3"/>
    <mergeCell ref="E3:G3"/>
  </mergeCells>
  <drawing r:id="rId3"/>
  <extLst>
    <ext uri="{3A4CF648-6AED-40f4-86FF-DC5316D8AED3}">
      <x14:slicerList>
        <x14:slicer r:id="rId4"/>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2.63"/>
    <col customWidth="1" min="2" max="2" width="15.38"/>
    <col customWidth="1" min="3"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c r="A9" s="27" t="s">
        <v>42</v>
      </c>
    </row>
    <row r="10" ht="15.75" customHeight="1"/>
    <row r="11" ht="15.75" customHeight="1">
      <c r="A11" s="10" t="s">
        <v>43</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9:E10"/>
    <mergeCell ref="A11:E16"/>
  </mergeCell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c r="A6" s="24" t="s">
        <v>46</v>
      </c>
    </row>
    <row r="7" ht="15.75" customHeight="1"/>
    <row r="8" ht="15.75" customHeight="1"/>
    <row r="9" ht="15.75" customHeight="1">
      <c r="A9" s="24" t="s">
        <v>47</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6:E7"/>
    <mergeCell ref="A9:E15"/>
  </mergeCells>
  <drawing r:id="rId2"/>
</worksheet>
</file>