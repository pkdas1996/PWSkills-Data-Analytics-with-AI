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xr:revisionPtr revIDLastSave="0" documentId="8_{4A1EEA43-C602-45C2-9BF0-74C20EE5B423}" xr6:coauthVersionLast="47" xr6:coauthVersionMax="47" xr10:uidLastSave="{00000000-0000-0000-0000-000000000000}"/>
  <bookViews>
    <workbookView xWindow="240" yWindow="105" windowWidth="14805" windowHeight="8010" firstSheet="8" activeTab="8" xr2:uid="{00000000-000D-0000-FFFF-FFFF00000000}"/>
  </bookViews>
  <sheets>
    <sheet name="Q1" sheetId="1" r:id="rId1"/>
    <sheet name="Q2" sheetId="2" r:id="rId2"/>
    <sheet name="Q3" sheetId="3" r:id="rId3"/>
    <sheet name="Q4" sheetId="4" r:id="rId4"/>
    <sheet name="Q5" sheetId="5" r:id="rId5"/>
    <sheet name="Q6" sheetId="8" r:id="rId6"/>
    <sheet name="Q7" sheetId="9" r:id="rId7"/>
    <sheet name="Q7(d,e)" sheetId="10" r:id="rId8"/>
    <sheet name="Q8" sheetId="6"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 r="D20" i="9"/>
  <c r="G33" i="8"/>
  <c r="D29" i="3"/>
  <c r="C12" i="10"/>
  <c r="C13" i="10"/>
  <c r="C14" i="10"/>
  <c r="C11" i="10"/>
  <c r="H4" i="10"/>
  <c r="D13" i="9"/>
  <c r="D6" i="9"/>
  <c r="C34" i="8"/>
  <c r="C27" i="8"/>
  <c r="C20" i="8"/>
  <c r="C13" i="8"/>
  <c r="C6" i="8"/>
  <c r="H4" i="6"/>
  <c r="H10" i="6"/>
  <c r="H12" i="6" s="1"/>
  <c r="H8" i="6"/>
  <c r="K5" i="2" a="1"/>
  <c r="K5" i="2"/>
  <c r="D40" i="3"/>
  <c r="K29" i="3"/>
  <c r="K19" i="3"/>
  <c r="D1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<sst xmlns="http://schemas.openxmlformats.org/spreadsheetml/2006/main" count="166" uniqueCount="135">
  <si>
    <t>Q1) What is data cleaning, and why is it important in data analysis?</t>
  </si>
  <si>
    <t>Data cleaning is finding and fixing messy data (incorrect, missing, duplicate, incorrectly formatted) to make it accurate, consistent, and usable for reliable data analysis. Poor quality data leads to poor decision making, while clean data ensures efficient, and accurate insights.</t>
  </si>
  <si>
    <t>Explain the common steps involved in cleaning and organizing data.</t>
  </si>
  <si>
    <t>What are the potential consequences of analyzing unclean or messy data?</t>
  </si>
  <si>
    <t xml:space="preserve">
1) Handling missing values : Filling in blanks/ NA fields or deciding to remove rows.
2) Removing duplicates : Deleting identical records. Keeping the unique ones while ensuring historization of records is not affected unless asked by business.
3) Text operations : Formatting text data (concatenation, case changes).
4) Numerical and date fixes : Correcting and standardizing numerical data and date formats.
5) Error handling : Fixing typos, misspellings.
6) Removing irrelevant data : Getting rid of data not needed for analysis.
7) Handling sensitive data : E.g., PII (Personally Identifiable Information).</t>
  </si>
  <si>
    <t>Unclean and messy data can severely impact the quality of insights derived from data analysis. Some consequences include:
1) Misleading and unreliable results : Leads to incorrect conclusions/ flawed insights/ biased models, which can, in turn, result in poor decision-making. In industries like finance, healthcare, or marketing, these errors are extremely costly e.g., incorrect investment choices, misidentified target markets, or ineffective policy changes.
2) Operational inefficiencies : Decisions based on inaccurate data lead to missed opportunities, consequently higher operational costs, slower time-to-insight, and ultimately affecting a company's bottom line. Some consequeces include slowing down the entire data analysis process, and delays in business operations.
4) Damaged trust : Consistent issues with data quality reduce stakeholders' trust in the business' data-driven strategies, causing loss of the organization's credibility and erosion of trust of customers and partners.
5) Technical and compliance issues : Unclean data causes significant technical hurdles and potential legal problems. Some consequences include system errors and crashes, integration challenges, and regulatory fines.</t>
  </si>
  <si>
    <t>Q2) How would you sort the following dataset first by "Department" (A-Z) and then by "Salary" (Largest to Smallest)? Write a step-by-step approach.</t>
  </si>
  <si>
    <t>Sorted data (Method2)-</t>
  </si>
  <si>
    <t>Employee</t>
  </si>
  <si>
    <t>Department</t>
  </si>
  <si>
    <t>Salary</t>
  </si>
  <si>
    <t>Sonu</t>
  </si>
  <si>
    <t>IT</t>
  </si>
  <si>
    <t>Pranav</t>
  </si>
  <si>
    <t>HR</t>
  </si>
  <si>
    <t>Rahul</t>
  </si>
  <si>
    <r>
      <rPr>
        <b/>
        <sz val="10"/>
        <color rgb="FF000000"/>
        <rFont val="Arial"/>
      </rPr>
      <t xml:space="preserve">METHOD2:
</t>
    </r>
    <r>
      <rPr>
        <sz val="10"/>
        <color rgb="FF000000"/>
        <rFont val="Arial"/>
      </rPr>
      <t>Alternatively, using the SORTBY formula:
= SORTBY($G$6:$I$8,$H$6:$H$8,1,$I$6:$I$8,-1)
1) Sort by Departmen array, excluding header ($H$6:$H$8) -&gt; 1 (Ascending)
2) Then sort by Salary array, excluding header ($I$6:$I$8) -&gt; -1 (Descending)</t>
    </r>
  </si>
  <si>
    <t>(Sorted using Method1)</t>
  </si>
  <si>
    <r>
      <rPr>
        <b/>
        <sz val="10"/>
        <color rgb="FF000000"/>
        <rFont val="Arial"/>
      </rPr>
      <t xml:space="preserve">METHOD1:
</t>
    </r>
    <r>
      <rPr>
        <sz val="10"/>
        <color rgb="FF000000"/>
        <rFont val="Arial"/>
      </rPr>
      <t xml:space="preserve">Step1: Select the entire dataset (select all 3 columns).
Step2: Go to the Data tab -&gt; Custom sort 
Step3: Check the box "My data has headers".
Step4: Add the first sort condition: Sort by - Department, Sort On - Cell values, Order - Sort Ascending
Step5: Add the second sort condition: Sort by - Salary, Sort On - Cell values, Order - Sort Descending
Step6: Apply - click OK.
</t>
    </r>
  </si>
  <si>
    <t>Q3) Explain the use of text functions such as TRIM, LEFT, RIGHT, MID, and CONCAT in data cleaning.</t>
  </si>
  <si>
    <t>These text functions can be used to perform a wide range of tasks such as removing extra spaces (TRIM), extracting characters or words (LEFT, RIGHT, MID) and combining text strings (CONCAT).
They allow users to format text data correctly and consistently in the data cleaning stage.</t>
  </si>
  <si>
    <t>1) TRIM</t>
  </si>
  <si>
    <t>2) LEFT</t>
  </si>
  <si>
    <t>Removes leading/ trailing (excess whitespace) from a text string, caused by manual data entry or while importing data from different systems. Useful for accurate analysis, comparisons, and lookups.</t>
  </si>
  <si>
    <t>Extracts a specified number of characters from the left of a text string. Useful for extracting specific codes, prefixes, or identifiers that appear at the start of a string.
E.g. ID column that has text values containing the first 2 characters denoting a region.</t>
  </si>
  <si>
    <t>Input text</t>
  </si>
  <si>
    <t xml:space="preserve">     J K Rowling</t>
  </si>
  <si>
    <t>NY-12345</t>
  </si>
  <si>
    <t>Cleaned text
= TRIM(D17)</t>
  </si>
  <si>
    <t>Result (Extracting region)
= LEFT(K17,2)</t>
  </si>
  <si>
    <t>3) RIGHT</t>
  </si>
  <si>
    <t>4) MID</t>
  </si>
  <si>
    <t>Extracts a specified number of characters from the right of a text string. Useful for extracting suffixes, numeric codes, file extensions, etc. typicallly located at the end of a string.
E.g. Extracting file extension.</t>
  </si>
  <si>
    <t>Extracts a substring from the middle of a text string, useful for extracting data embedded inside a string, that doesn't start or end at the boundaries. E.g. Extracting a specific product code located in the center of an identifier.</t>
  </si>
  <si>
    <t>Report_2025.pdf</t>
  </si>
  <si>
    <t>ORD-A-482-XYZ</t>
  </si>
  <si>
    <t>Result (Extracting file extension) = RIGHT(D27,3)</t>
  </si>
  <si>
    <t>Result (Extracting item code "482") = MID(K27,7,3)</t>
  </si>
  <si>
    <t xml:space="preserve">5) CONCAT </t>
  </si>
  <si>
    <t>Joins two or more text strings together. Useful for combining first and last names into a full name or merging address components into a single mailing label.
E.g., Combine first and last names into a single full name of the customer.</t>
  </si>
  <si>
    <t>First Name</t>
  </si>
  <si>
    <t>Last Name</t>
  </si>
  <si>
    <t>Input strings</t>
  </si>
  <si>
    <t>Mark</t>
  </si>
  <si>
    <t>Knopfler</t>
  </si>
  <si>
    <t>Combined text
= CONCAT(D37," ",F37)</t>
  </si>
  <si>
    <t>Q4) What is the role of date functions like TODAY in managing datasets?</t>
  </si>
  <si>
    <t>TODAY() returns the current date. Some important use cases of the TODAY() function are as follows:
1) Dynamic Tracking :
The TODAY() function automatically updates every time the workbook is opened or recalculated.
It is also used to calculate the difference between a static date (e.g. invoice date) and current date to determine how many days have passed since (crucial for managing accounts receivable, inventory shelf life, or project timelines).
It can also be used within conditional formatting rules to visually highlight tasks that are due soon, overdue, or upcoming.
2) Data validation and Automation :
The TODAY() function can be used in data validation settings to enforce business rules, such as preventing users from entering a "ship date" that is in the future relative to when they are filling out the sheet, or ensuring an "issue date" is not older than six months.
3) Reporting and Filtering :
Reports can be built using TODAY() to automatically filter data for the current week, month or year. This saves analysts from manually adjusting date ranges every time a weekly or monthly report is run.
It is also useful in calculating precise age in years, months, or days using date functions like DATEDIFF() - commonly used in HR databases to calculate employee age or tenure.
4) Audit trails/ timestamps :
The TODAY() function can be combined with VBA to create a timestamp when an action occurs, facilitating audit trails.</t>
  </si>
  <si>
    <t>Q5) Apply Data Validation to restrict Quantity values to only whole numbers between 1 and 10.</t>
  </si>
  <si>
    <t>Customer Name</t>
  </si>
  <si>
    <t>Product Name</t>
  </si>
  <si>
    <t>Category</t>
  </si>
  <si>
    <t>Quantity</t>
  </si>
  <si>
    <t>Unit Price ($)</t>
  </si>
  <si>
    <r>
      <rPr>
        <sz val="10"/>
        <color rgb="FF000000"/>
        <rFont val="Arial"/>
      </rPr>
      <t xml:space="preserve">1) Select the </t>
    </r>
    <r>
      <rPr>
        <b/>
        <sz val="10"/>
        <color rgb="FF000000"/>
        <rFont val="Arial"/>
      </rPr>
      <t>Quantity</t>
    </r>
    <r>
      <rPr>
        <sz val="10"/>
        <color rgb="FF000000"/>
        <rFont val="Arial"/>
      </rPr>
      <t xml:space="preserve"> column (D5:D13).
2) Go to Data -&gt; Data Validation.
3) Set the Validation Rule under Settings.
Criteria : Allow - Whole number, Data - Between
Minimum : 1
Maximum : 10
(This will ensure only whole numbers between 1 and 10 are allowed.)
4) Enable the Input Message. (Check "Show message")
Enter the input message : "Please enter a whole number between 1 and 10."
(This message appears when a cell in the </t>
    </r>
    <r>
      <rPr>
        <b/>
        <sz val="10"/>
        <color rgb="FF000000"/>
        <rFont val="Arial"/>
      </rPr>
      <t>Quantity</t>
    </r>
    <r>
      <rPr>
        <sz val="10"/>
        <color rgb="FF000000"/>
        <rFont val="Arial"/>
      </rPr>
      <t xml:space="preserve"> column is selected.)
5) Configure the Error Alert. (Check “Show Alert” and set Type as “Blocking”)
Enter the alert message : "Invalid input! The quantity must be a whole number between 1 and 10."
(This message appears when a value &lt;1, &gt;10 or a decimal/text is entered in a cell in the </t>
    </r>
    <r>
      <rPr>
        <b/>
        <sz val="10"/>
        <color rgb="FF000000"/>
        <rFont val="Arial"/>
      </rPr>
      <t>Quantity</t>
    </r>
    <r>
      <rPr>
        <sz val="10"/>
        <color rgb="FF000000"/>
        <rFont val="Arial"/>
      </rPr>
      <t xml:space="preserve"> column.)
6) Save the Rule. (Apply)
</t>
    </r>
  </si>
  <si>
    <t>Jane Smith</t>
  </si>
  <si>
    <t>Shoes</t>
  </si>
  <si>
    <t>Electronics</t>
  </si>
  <si>
    <t>Isabella Moore</t>
  </si>
  <si>
    <t>Laptop</t>
  </si>
  <si>
    <t>Daniel Davis</t>
  </si>
  <si>
    <t>Sofa</t>
  </si>
  <si>
    <t>Clothing</t>
  </si>
  <si>
    <t>Alex Moore</t>
  </si>
  <si>
    <t>Michael Johnson</t>
  </si>
  <si>
    <t>Table Lamp</t>
  </si>
  <si>
    <t>Home Decor</t>
  </si>
  <si>
    <t>Daniel Johnson</t>
  </si>
  <si>
    <t>Backpack</t>
  </si>
  <si>
    <t>Isabella Davis</t>
  </si>
  <si>
    <t>Headphones</t>
  </si>
  <si>
    <t>Jane Davis</t>
  </si>
  <si>
    <t>Alex Wilson</t>
  </si>
  <si>
    <t>T-shirt</t>
  </si>
  <si>
    <t>a. Configure an input message that appears when a user selects a cell in the "Quantity" column explaining: 
"Please enter a whole number between 1 and 10."</t>
  </si>
  <si>
    <t>b. Set up an error alert message that triggers if the user enters a number less than 1 or greater than 10, showing : "Invalid input! The quantity must be a whole number between 1 and 10."</t>
  </si>
  <si>
    <t>Q6)  Understand and apply fundamental text functions like LEFT, RIGHT, MID, and LEN.</t>
  </si>
  <si>
    <t>Extract the first 5 characters from the string "ExcelTipsAreGreat" using the LEFT function.</t>
  </si>
  <si>
    <t>Input string</t>
  </si>
  <si>
    <t>ExcelTipsAreGreat</t>
  </si>
  <si>
    <t>Result 
= LEFT(C5,5)</t>
  </si>
  <si>
    <t>Extract the last 4 characters from "DataAnalysis.xlsx" using the RIGHT function.</t>
  </si>
  <si>
    <t>DataAnalysis.xlsx</t>
  </si>
  <si>
    <t>Result 
= RIGHT(C12,4)</t>
  </si>
  <si>
    <t>Extract the substring "Tips" from "ExcelTipsAreGreat" using the MID function.</t>
  </si>
  <si>
    <t>Result 
= MID(C19,6,4)</t>
  </si>
  <si>
    <t>Count the total number of characters in the string "Hello World!" using the LEN function.</t>
  </si>
  <si>
    <t>Hello World!</t>
  </si>
  <si>
    <t>Result 
= LEN(C26)</t>
  </si>
  <si>
    <t>.Create a formula to extract the middle 6 characters from "12345-67890-ABCDE".</t>
  </si>
  <si>
    <t>12345-67890-ABCDE</t>
  </si>
  <si>
    <t>Result 
= MID(C33,7,6)</t>
  </si>
  <si>
    <t>(middle starts at position 7)</t>
  </si>
  <si>
    <t>Q7)  Understand how to combine text using CONCAT, TEXTJOIN, and the &amp; operator.</t>
  </si>
  <si>
    <t>Use CONCAT to combine "Hello" and "World" with a space in between.</t>
  </si>
  <si>
    <t>Hello</t>
  </si>
  <si>
    <t>World</t>
  </si>
  <si>
    <t>Result 
= CONCAT(D5," ",E5)</t>
  </si>
  <si>
    <t>Combine "Apple", "Banana", and "Cherry" into a single string separated by commas using TEXTJOIN.</t>
  </si>
  <si>
    <t>Apple</t>
  </si>
  <si>
    <t>Banana</t>
  </si>
  <si>
    <t>Cherry</t>
  </si>
  <si>
    <t>Result 
= TEXTJOIN(",",TRUE,D12:F12)</t>
  </si>
  <si>
    <t>Use the &amp; operator to create the string "2025: Excel Functions" by combining "2025", ": ", and "Excel Functions".</t>
  </si>
  <si>
    <t xml:space="preserve">: </t>
  </si>
  <si>
    <t>Excel Functions</t>
  </si>
  <si>
    <t>Result 
= D19&amp;E19&amp;F19</t>
  </si>
  <si>
    <t>NY</t>
  </si>
  <si>
    <t>Create a comma-separated list from the range A1:A5 using TEXTJOIN.</t>
  </si>
  <si>
    <t>NV</t>
  </si>
  <si>
    <t>TX</t>
  </si>
  <si>
    <t>AZ</t>
  </si>
  <si>
    <t>Result 
= TEXTJOIN(",",TRUE,A1:A5)</t>
  </si>
  <si>
    <t>OH</t>
  </si>
  <si>
    <t>(US State Name  abbrev.)</t>
  </si>
  <si>
    <t>First NameLast Name</t>
  </si>
  <si>
    <t>Full Name</t>
  </si>
  <si>
    <t>Combine first names in column A with last names in column B to create full names in column C</t>
  </si>
  <si>
    <t>David</t>
  </si>
  <si>
    <t>Gilmour</t>
  </si>
  <si>
    <t>Jimmy</t>
  </si>
  <si>
    <t>Page</t>
  </si>
  <si>
    <t>In C11 : = $A11&amp;" "&amp;$B11. Drag the formula down to concatenate the remaining names.</t>
  </si>
  <si>
    <t>Eric</t>
  </si>
  <si>
    <t>Clapton</t>
  </si>
  <si>
    <t>TODAY &amp; NOW (Examples) - Q8 (a) &amp; (c)</t>
  </si>
  <si>
    <t>Q8) Understanding TODAY() and NOW()</t>
  </si>
  <si>
    <t>TODAY()</t>
  </si>
  <si>
    <t>Q8 (b)</t>
  </si>
  <si>
    <r>
      <rPr>
        <sz val="10"/>
        <color rgb="FF000000"/>
        <rFont val="Arial"/>
      </rPr>
      <t>a. What is the difference between TODAY() and NOW() in Excel? Provide an example of when you would use each function.
TODAY() function returns the current date only (e.g. 12/15/2025). It does not include the time component whereas the NOW() function returns both the current date and the current time.
Example use cases :
TODAY() - We need to track how many days have passed since a project started. (The time component is irrelevant for the task at hand.)
Using = TODAY() - ProjectStartDate(H6) returns a whole number of days since the project start date.</t>
    </r>
    <r>
      <rPr>
        <b/>
        <sz val="10"/>
        <color rgb="FF000000"/>
        <rFont val="Arial"/>
      </rPr>
      <t xml:space="preserve"> &lt;Refer to the left table&gt;
</t>
    </r>
    <r>
      <rPr>
        <sz val="10"/>
        <color rgb="FF000000"/>
        <rFont val="Arial"/>
      </rPr>
      <t xml:space="preserve">
NOW() - We need a timestamp for when an inventory status or task was last refreshed or reviewed.
Using = NOW() returns the exact date and time(H10) - </t>
    </r>
    <r>
      <rPr>
        <b/>
        <sz val="10"/>
        <color rgb="FF000000"/>
        <rFont val="Arial"/>
      </rPr>
      <t xml:space="preserve">&lt;Refer to the left table&gt;
</t>
    </r>
    <r>
      <rPr>
        <sz val="10"/>
        <color rgb="FF000000"/>
        <rFont val="Arial"/>
      </rPr>
      <t xml:space="preserve">
b. If cell A1 contains the date 2025-06-10, write a formula using TODAY() to determine how many days have passed since that date.
Using = TODAY()-A1 returns the number of days (A2).
c. Write an Excel formula using NOW() to display the current date and time in the format MM/DD/YYYY HH:MM AM/PM.
Using =NOW() returns the current date and time as shown in the left table.
Using the = TEXT(NOW(), "MM/DD/YYYY HH:MM AM/PM") function, we can format it as "MM/DD/YYYY HH:MM AM/PM". (H12)
d. If a cell contains = TODAY(), what will happen when the worksheet is reopened the next day? Explain.
TODAY() is a volatile function - it recalculates every time the worksheet changes or is reopened the next day (does not store a fixed value). Therefore, when the file is opened the next day, the spreadsheet recognizes that time has passed and updates the cell to reflect the next day's actual date.
e. You want to store a static date (today's date) in a cell without it changing every day. What keyboard shortcut should you use?
1) Select the cell where today's date is stored.
2) Press </t>
    </r>
    <r>
      <rPr>
        <b/>
        <sz val="10"/>
        <color rgb="FF000000"/>
        <rFont val="Arial"/>
      </rPr>
      <t xml:space="preserve">Ctrl + ;(semicolon) </t>
    </r>
    <r>
      <rPr>
        <sz val="10"/>
        <color rgb="FF000000"/>
        <rFont val="Arial"/>
      </rPr>
      <t>for Windows and</t>
    </r>
    <r>
      <rPr>
        <b/>
        <sz val="10"/>
        <color rgb="FF000000"/>
        <rFont val="Arial"/>
      </rPr>
      <t xml:space="preserve"> Command + ; </t>
    </r>
    <r>
      <rPr>
        <sz val="10"/>
        <color rgb="FF000000"/>
        <rFont val="Arial"/>
      </rPr>
      <t>for Mac</t>
    </r>
    <r>
      <rPr>
        <b/>
        <sz val="10"/>
        <color rgb="FF000000"/>
        <rFont val="Arial"/>
      </rPr>
      <t xml:space="preserve"> </t>
    </r>
    <r>
      <rPr>
        <sz val="10"/>
        <color rgb="FF000000"/>
        <rFont val="Arial"/>
      </rPr>
      <t>simultaneously.
3) The date value will remain fixed in that cell and won't change when the file is reopened every day.</t>
    </r>
  </si>
  <si>
    <t>Project Start Date</t>
  </si>
  <si>
    <t>Days passed since start date</t>
  </si>
  <si>
    <t>NOW()</t>
  </si>
  <si>
    <t>TEXT(NOW(), "MM/DD/YYYY HH:MM AM/PM")</t>
  </si>
  <si>
    <t>TODAY() - set as static, unchanging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</si>
</sst>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0"/>
      <color theme="1"/>
      <name val="Arial"/>
      <charset val="1"/>
    </font>
    <font>
      <b/>
      <sz val="10"/>
      <color theme="1"/>
      <name val="Arial"/>
      <charset val="1"/>
    </font>
    <font>
      <b/>
      <sz val="10"/>
      <color rgb="FF000000"/>
      <name val="Arial"/>
    </font>
    <font>
      <sz val="10"/>
      <color rgb="FF000000"/>
      <name val="Arial"/>
    </font>
    <font>
      <sz val="11"/>
      <color rgb="FF000000"/>
      <name val="Aptos Narrow"/>
      <charset val="1"/>
    </font>
    <font>
      <b/>
      <sz val="11"/>
      <color theme="1"/>
      <name val="Aptos Narrow"/>
      <family val="2"/>
      <scheme val="minor"/>
    </font>
  </fonts>
  <fills count="2">
    <fill>
      <patternFill patternType="none"/>
    </fill>
    <fill>
      <patternFill patternType="gray125"/>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CCCCCC"/>
      </right>
      <top style="thin">
        <color rgb="FF000000"/>
      </top>
      <bottom/>
      <diagonal/>
    </border>
    <border>
      <left style="thin">
        <color rgb="FF000000"/>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right/>
      <top style="thin">
        <color rgb="FFCCCCCC"/>
      </top>
      <bottom/>
      <diagonal/>
    </border>
    <border>
      <left style="thin">
        <color rgb="FF000000"/>
      </left>
      <right style="thin">
        <color rgb="FFCCCCCC"/>
      </right>
      <top style="thin">
        <color rgb="FFCCCCCC"/>
      </top>
      <bottom style="thin">
        <color rgb="FFCCCCCC"/>
      </bottom>
      <diagonal/>
    </border>
    <border>
      <left style="thin">
        <color rgb="FF000000"/>
      </left>
      <right/>
      <top style="thin">
        <color rgb="FFCCCCCC"/>
      </top>
      <bottom/>
      <diagonal/>
    </border>
    <border>
      <left/>
      <right style="thin">
        <color rgb="FFCCCCCC"/>
      </right>
      <top style="thin">
        <color rgb="FFCCCCCC"/>
      </top>
      <bottom/>
      <diagonal/>
    </border>
    <border>
      <left style="thin">
        <color rgb="FF000000"/>
      </left>
      <right/>
      <top/>
      <bottom/>
      <diagonal/>
    </border>
    <border>
      <left/>
      <right style="thin">
        <color rgb="FFCCCCCC"/>
      </right>
      <top/>
      <bottom/>
      <diagonal/>
    </border>
    <border>
      <left style="thin">
        <color rgb="FFCCCCCC"/>
      </left>
      <right/>
      <top style="thin">
        <color rgb="FFCCCCCC"/>
      </top>
      <bottom/>
      <diagonal/>
    </border>
    <border>
      <left style="thin">
        <color rgb="FFCCCCCC"/>
      </left>
      <right/>
      <top/>
      <bottom/>
      <diagonal/>
    </border>
    <border>
      <left/>
      <right style="thin">
        <color rgb="FF000000"/>
      </right>
      <top/>
      <bottom/>
      <diagonal/>
    </border>
    <border>
      <left style="thin">
        <color rgb="FFCCCCCC"/>
      </left>
      <right/>
      <top/>
      <bottom style="thin">
        <color rgb="FFCCCCCC"/>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CCCCCC"/>
      </top>
      <bottom style="thin">
        <color rgb="FF000000"/>
      </bottom>
      <diagonal/>
    </border>
    <border>
      <left style="thin">
        <color rgb="FFCCCCCC"/>
      </left>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CCCCCC"/>
      </left>
      <right/>
      <top style="thin">
        <color rgb="FFCCCCCC"/>
      </top>
      <bottom style="thin">
        <color rgb="FF000000"/>
      </bottom>
      <diagonal/>
    </border>
    <border>
      <left style="thin">
        <color rgb="FFCCCCCC"/>
      </left>
      <right/>
      <top style="thin">
        <color rgb="FF000000"/>
      </top>
      <bottom style="thin">
        <color rgb="FFCCCCCC"/>
      </bottom>
      <diagonal/>
    </border>
    <border>
      <left/>
      <right/>
      <top style="thin">
        <color rgb="FFCCCCCC"/>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CCCCCC"/>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CCCCCC"/>
      </left>
      <right/>
      <top style="thin">
        <color rgb="FF000000"/>
      </top>
      <bottom/>
      <diagonal/>
    </border>
    <border>
      <left style="thin">
        <color rgb="FF000000"/>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right style="thin">
        <color rgb="FF000000"/>
      </right>
      <top style="thin">
        <color rgb="FF000000"/>
      </top>
      <bottom style="thin">
        <color rgb="FFCCCCCC"/>
      </bottom>
      <diagonal/>
    </border>
    <border>
      <left style="thin">
        <color rgb="FF000000"/>
      </left>
      <right style="thin">
        <color rgb="FF000000"/>
      </right>
      <top/>
      <bottom/>
      <diagonal/>
    </border>
    <border>
      <left/>
      <right/>
      <top style="thin">
        <color rgb="FF000000"/>
      </top>
      <bottom style="thin">
        <color rgb="FF000000"/>
      </bottom>
      <diagonal/>
    </border>
  </borders>
  <cellStyleXfs count="1">
    <xf numFmtId="0" fontId="0" fillId="0" borderId="0"/>
  </cellStyleXfs>
  <cellXfs count="124">
    <xf numFmtId="0" fontId="0" fillId="0" borderId="0" xfId="0"/>
    <xf numFmtId="0" fontId="1" fillId="0" borderId="7" xfId="0" applyFont="1" applyBorder="1" applyAlignment="1">
      <alignment readingOrder="1"/>
    </xf>
    <xf numFmtId="0" fontId="1" fillId="0" borderId="8" xfId="0" applyFont="1" applyBorder="1" applyAlignment="1">
      <alignment readingOrder="1"/>
    </xf>
    <xf numFmtId="0" fontId="1" fillId="0" borderId="9" xfId="0" applyFont="1" applyBorder="1" applyAlignment="1">
      <alignment readingOrder="1"/>
    </xf>
    <xf numFmtId="0" fontId="1" fillId="0" borderId="11" xfId="0" applyFont="1" applyBorder="1" applyAlignment="1">
      <alignment readingOrder="1"/>
    </xf>
    <xf numFmtId="0" fontId="1" fillId="0" borderId="21" xfId="0" applyFont="1" applyBorder="1" applyAlignment="1">
      <alignment readingOrder="1"/>
    </xf>
    <xf numFmtId="0" fontId="1" fillId="0" borderId="22" xfId="0" applyFont="1" applyBorder="1" applyAlignment="1">
      <alignment readingOrder="1"/>
    </xf>
    <xf numFmtId="0" fontId="1" fillId="0" borderId="20" xfId="0" applyFont="1" applyBorder="1" applyAlignment="1">
      <alignment readingOrder="1"/>
    </xf>
    <xf numFmtId="0" fontId="2" fillId="0" borderId="20" xfId="0" applyFont="1" applyBorder="1" applyAlignment="1">
      <alignment readingOrder="1"/>
    </xf>
    <xf numFmtId="0" fontId="2" fillId="0" borderId="24" xfId="0" applyFont="1" applyBorder="1" applyAlignment="1">
      <alignment readingOrder="1"/>
    </xf>
    <xf numFmtId="0" fontId="1" fillId="0" borderId="24" xfId="0" applyFont="1" applyBorder="1" applyAlignment="1">
      <alignment readingOrder="1"/>
    </xf>
    <xf numFmtId="0" fontId="1" fillId="0" borderId="12" xfId="0" applyFont="1" applyBorder="1" applyAlignment="1">
      <alignment readingOrder="1"/>
    </xf>
    <xf numFmtId="0" fontId="1" fillId="0" borderId="16" xfId="0" applyFont="1" applyBorder="1" applyAlignment="1">
      <alignment readingOrder="1"/>
    </xf>
    <xf numFmtId="0" fontId="2" fillId="0" borderId="0" xfId="0" applyFont="1" applyBorder="1" applyAlignment="1">
      <alignment readingOrder="1"/>
    </xf>
    <xf numFmtId="0" fontId="1" fillId="0" borderId="25" xfId="0" applyFont="1" applyBorder="1" applyAlignment="1">
      <alignment readingOrder="1"/>
    </xf>
    <xf numFmtId="0" fontId="2" fillId="0" borderId="26" xfId="0" applyFont="1" applyBorder="1" applyAlignment="1">
      <alignment readingOrder="1"/>
    </xf>
    <xf numFmtId="0" fontId="1" fillId="0" borderId="26" xfId="0" applyFont="1" applyBorder="1" applyAlignment="1">
      <alignment readingOrder="1"/>
    </xf>
    <xf numFmtId="0" fontId="0" fillId="0" borderId="0" xfId="0" applyBorder="1"/>
    <xf numFmtId="0" fontId="1" fillId="0" borderId="19" xfId="0" applyFont="1" applyBorder="1" applyAlignment="1">
      <alignment readingOrder="1"/>
    </xf>
    <xf numFmtId="0" fontId="1" fillId="0" borderId="28" xfId="0" applyFont="1" applyBorder="1" applyAlignment="1">
      <alignment readingOrder="1"/>
    </xf>
    <xf numFmtId="0" fontId="0" fillId="0" borderId="0" xfId="0" applyAlignment="1"/>
    <xf numFmtId="0" fontId="1" fillId="0" borderId="34" xfId="0" applyFont="1" applyBorder="1" applyAlignment="1">
      <alignment readingOrder="1"/>
    </xf>
    <xf numFmtId="0" fontId="1" fillId="0" borderId="35" xfId="0" applyFont="1" applyBorder="1" applyAlignment="1">
      <alignment readingOrder="1"/>
    </xf>
    <xf numFmtId="0" fontId="2" fillId="0" borderId="32" xfId="0" applyFont="1" applyBorder="1" applyAlignment="1">
      <alignment readingOrder="1"/>
    </xf>
    <xf numFmtId="0" fontId="2" fillId="0" borderId="36" xfId="0" applyFont="1" applyBorder="1" applyAlignment="1">
      <alignment readingOrder="1"/>
    </xf>
    <xf numFmtId="0" fontId="2" fillId="0" borderId="30" xfId="0" applyFont="1" applyBorder="1" applyAlignment="1">
      <alignment readingOrder="1"/>
    </xf>
    <xf numFmtId="0" fontId="1" fillId="0" borderId="23" xfId="0" applyFont="1" applyBorder="1" applyAlignment="1">
      <alignment readingOrder="1"/>
    </xf>
    <xf numFmtId="0" fontId="1" fillId="0" borderId="37" xfId="0" applyFont="1" applyBorder="1" applyAlignment="1">
      <alignment readingOrder="1"/>
    </xf>
    <xf numFmtId="0" fontId="1" fillId="0" borderId="1" xfId="0" applyFont="1" applyBorder="1" applyAlignment="1">
      <alignment readingOrder="1"/>
    </xf>
    <xf numFmtId="14" fontId="1" fillId="0" borderId="26" xfId="0" applyNumberFormat="1" applyFont="1" applyBorder="1" applyAlignment="1">
      <alignment readingOrder="1"/>
    </xf>
    <xf numFmtId="0" fontId="2" fillId="0" borderId="11" xfId="0" applyFont="1" applyBorder="1" applyAlignment="1">
      <alignment readingOrder="1"/>
    </xf>
    <xf numFmtId="0" fontId="1" fillId="0" borderId="38" xfId="0" applyFont="1" applyBorder="1" applyAlignment="1">
      <alignment readingOrder="1"/>
    </xf>
    <xf numFmtId="0" fontId="1" fillId="0" borderId="39" xfId="0" applyFont="1" applyBorder="1" applyAlignment="1">
      <alignment readingOrder="1"/>
    </xf>
    <xf numFmtId="0" fontId="1" fillId="0" borderId="40" xfId="0" applyFont="1" applyBorder="1" applyAlignment="1">
      <alignment readingOrder="1"/>
    </xf>
    <xf numFmtId="0" fontId="1" fillId="0" borderId="41" xfId="0" applyFont="1" applyBorder="1" applyAlignment="1">
      <alignment readingOrder="1"/>
    </xf>
    <xf numFmtId="0" fontId="1" fillId="0" borderId="10" xfId="0" applyFont="1" applyBorder="1" applyAlignment="1">
      <alignment readingOrder="1"/>
    </xf>
    <xf numFmtId="0" fontId="1" fillId="0" borderId="42" xfId="0" applyFont="1" applyBorder="1" applyAlignment="1">
      <alignment readingOrder="1"/>
    </xf>
    <xf numFmtId="0" fontId="1" fillId="0" borderId="14" xfId="0" applyFont="1" applyBorder="1" applyAlignment="1">
      <alignment readingOrder="1"/>
    </xf>
    <xf numFmtId="0" fontId="1" fillId="0" borderId="33" xfId="0" applyFont="1" applyBorder="1" applyAlignment="1">
      <alignment readingOrder="1"/>
    </xf>
    <xf numFmtId="0" fontId="0" fillId="0" borderId="26" xfId="0" applyBorder="1"/>
    <xf numFmtId="0" fontId="0" fillId="0" borderId="37" xfId="0" applyBorder="1"/>
    <xf numFmtId="0" fontId="6" fillId="0" borderId="26" xfId="0" applyFont="1" applyBorder="1"/>
    <xf numFmtId="0" fontId="0" fillId="0" borderId="0" xfId="0" applyAlignment="1">
      <alignment wrapText="1"/>
    </xf>
    <xf numFmtId="0" fontId="1" fillId="0" borderId="24" xfId="0" applyNumberFormat="1" applyFont="1" applyBorder="1" applyAlignment="1">
      <alignment readingOrder="1"/>
    </xf>
    <xf numFmtId="0" fontId="1" fillId="0" borderId="0" xfId="0" applyFont="1" applyBorder="1" applyAlignment="1">
      <alignment horizontal="center" wrapText="1" readingOrder="1"/>
    </xf>
    <xf numFmtId="0" fontId="1" fillId="0" borderId="0" xfId="0" applyFont="1" applyBorder="1" applyAlignment="1">
      <alignment horizontal="center" readingOrder="1"/>
    </xf>
    <xf numFmtId="0" fontId="1" fillId="0" borderId="0" xfId="0" applyFont="1" applyBorder="1" applyAlignment="1">
      <alignment readingOrder="1"/>
    </xf>
    <xf numFmtId="0" fontId="0" fillId="0" borderId="0" xfId="0" applyAlignment="1">
      <alignment horizontal="center"/>
    </xf>
    <xf numFmtId="0" fontId="0" fillId="0" borderId="0" xfId="0" applyAlignment="1">
      <alignment horizontal="center" wrapText="1"/>
    </xf>
    <xf numFmtId="0" fontId="5" fillId="0" borderId="0" xfId="0" applyFont="1" applyAlignment="1">
      <alignment horizontal="center"/>
    </xf>
    <xf numFmtId="0" fontId="1" fillId="0" borderId="2" xfId="0" applyFont="1" applyBorder="1" applyAlignment="1">
      <alignment readingOrder="1"/>
    </xf>
    <xf numFmtId="22" fontId="1" fillId="0" borderId="14" xfId="0" applyNumberFormat="1" applyFont="1" applyBorder="1" applyAlignment="1">
      <alignment horizontal="center" readingOrder="1"/>
    </xf>
    <xf numFmtId="22" fontId="1" fillId="0" borderId="0" xfId="0" applyNumberFormat="1" applyFont="1" applyBorder="1" applyAlignment="1">
      <alignment horizontal="center" readingOrder="1"/>
    </xf>
    <xf numFmtId="22" fontId="1" fillId="0" borderId="18" xfId="0" applyNumberFormat="1" applyFont="1" applyBorder="1" applyAlignment="1">
      <alignment horizontal="center" readingOrder="1"/>
    </xf>
    <xf numFmtId="0" fontId="1" fillId="0" borderId="17" xfId="0" applyFont="1" applyBorder="1" applyAlignment="1">
      <alignment horizontal="left" wrapText="1" readingOrder="1"/>
    </xf>
    <xf numFmtId="0" fontId="1" fillId="0" borderId="0" xfId="0" applyFont="1" applyBorder="1" applyAlignment="1">
      <alignment horizontal="left" wrapText="1" readingOrder="1"/>
    </xf>
    <xf numFmtId="0" fontId="1" fillId="0" borderId="14" xfId="0" applyFont="1" applyBorder="1" applyAlignment="1">
      <alignment horizontal="center" wrapText="1" readingOrder="1"/>
    </xf>
    <xf numFmtId="0" fontId="1" fillId="0" borderId="0" xfId="0" applyFont="1" applyBorder="1" applyAlignment="1">
      <alignment horizontal="center" wrapText="1" readingOrder="1"/>
    </xf>
    <xf numFmtId="0" fontId="1" fillId="0" borderId="10" xfId="0" applyFont="1" applyBorder="1" applyAlignment="1">
      <alignment horizontal="left" wrapText="1" readingOrder="1"/>
    </xf>
    <xf numFmtId="0" fontId="1" fillId="0" borderId="12" xfId="0" applyFont="1" applyBorder="1" applyAlignment="1">
      <alignment wrapText="1" readingOrder="1"/>
    </xf>
    <xf numFmtId="0" fontId="1" fillId="0" borderId="10" xfId="0" applyFont="1" applyBorder="1" applyAlignment="1">
      <alignment wrapText="1" readingOrder="1"/>
    </xf>
    <xf numFmtId="0" fontId="1" fillId="0" borderId="13" xfId="0" applyFont="1" applyBorder="1" applyAlignment="1">
      <alignment wrapText="1" readingOrder="1"/>
    </xf>
    <xf numFmtId="0" fontId="1" fillId="0" borderId="14" xfId="0" applyFont="1" applyBorder="1" applyAlignment="1">
      <alignment wrapText="1" readingOrder="1"/>
    </xf>
    <xf numFmtId="0" fontId="1" fillId="0" borderId="0" xfId="0" applyFont="1" applyBorder="1" applyAlignment="1">
      <alignment wrapText="1" readingOrder="1"/>
    </xf>
    <xf numFmtId="0" fontId="1" fillId="0" borderId="15" xfId="0" applyFont="1" applyBorder="1" applyAlignment="1">
      <alignment wrapText="1" readingOrder="1"/>
    </xf>
    <xf numFmtId="0" fontId="1" fillId="0" borderId="4" xfId="0" applyFont="1" applyBorder="1" applyAlignment="1">
      <alignment wrapText="1" readingOrder="1"/>
    </xf>
    <xf numFmtId="0" fontId="1" fillId="0" borderId="5" xfId="0" applyFont="1" applyBorder="1" applyAlignment="1">
      <alignment wrapText="1" readingOrder="1"/>
    </xf>
    <xf numFmtId="0" fontId="1" fillId="0" borderId="6" xfId="0" applyFont="1" applyBorder="1" applyAlignment="1">
      <alignment wrapText="1" readingOrder="1"/>
    </xf>
    <xf numFmtId="0" fontId="4" fillId="0" borderId="10" xfId="0" applyFont="1" applyBorder="1" applyAlignment="1">
      <alignment horizontal="left" wrapText="1" readingOrder="1"/>
    </xf>
    <xf numFmtId="0" fontId="4" fillId="0" borderId="0" xfId="0" applyFont="1" applyBorder="1" applyAlignment="1">
      <alignment horizontal="left" wrapText="1" readingOrder="1"/>
    </xf>
    <xf numFmtId="0" fontId="1" fillId="0" borderId="10" xfId="0" applyFont="1" applyBorder="1" applyAlignment="1">
      <alignment horizontal="center" readingOrder="1"/>
    </xf>
    <xf numFmtId="0" fontId="1" fillId="0" borderId="0" xfId="0" applyFont="1" applyBorder="1" applyAlignment="1">
      <alignment horizontal="center" readingOrder="1"/>
    </xf>
    <xf numFmtId="0" fontId="1" fillId="0" borderId="27" xfId="0" applyFont="1" applyBorder="1" applyAlignment="1">
      <alignment horizontal="center" readingOrder="1"/>
    </xf>
    <xf numFmtId="0" fontId="1" fillId="0" borderId="29" xfId="0" applyFont="1" applyBorder="1" applyAlignment="1">
      <alignment horizontal="center" readingOrder="1"/>
    </xf>
    <xf numFmtId="0" fontId="1" fillId="0" borderId="1" xfId="0" applyFont="1" applyBorder="1" applyAlignment="1">
      <alignment horizontal="center" wrapText="1" readingOrder="1"/>
    </xf>
    <xf numFmtId="0" fontId="1" fillId="0" borderId="2" xfId="0" applyFont="1" applyBorder="1" applyAlignment="1">
      <alignment horizontal="center" wrapText="1" readingOrder="1"/>
    </xf>
    <xf numFmtId="0" fontId="1" fillId="0" borderId="3" xfId="0" applyFont="1" applyBorder="1" applyAlignment="1">
      <alignment horizontal="center" wrapText="1" readingOrder="1"/>
    </xf>
    <xf numFmtId="0" fontId="1" fillId="0" borderId="15" xfId="0" applyFont="1" applyBorder="1" applyAlignment="1">
      <alignment horizontal="center" wrapText="1" readingOrder="1"/>
    </xf>
    <xf numFmtId="0" fontId="1" fillId="0" borderId="4" xfId="0" applyFont="1" applyBorder="1" applyAlignment="1">
      <alignment horizontal="center" wrapText="1" readingOrder="1"/>
    </xf>
    <xf numFmtId="0" fontId="1" fillId="0" borderId="5" xfId="0" applyFont="1" applyBorder="1" applyAlignment="1">
      <alignment horizontal="center" wrapText="1" readingOrder="1"/>
    </xf>
    <xf numFmtId="0" fontId="1" fillId="0" borderId="6" xfId="0" applyFont="1" applyBorder="1" applyAlignment="1">
      <alignment horizontal="center" wrapText="1" readingOrder="1"/>
    </xf>
    <xf numFmtId="0" fontId="1" fillId="0" borderId="26" xfId="0" applyFont="1" applyBorder="1" applyAlignment="1">
      <alignment horizontal="center" wrapText="1" readingOrder="1"/>
    </xf>
    <xf numFmtId="0" fontId="1" fillId="0" borderId="26" xfId="0" applyFont="1" applyBorder="1" applyAlignment="1">
      <alignment horizontal="left" readingOrder="1"/>
    </xf>
    <xf numFmtId="0" fontId="1" fillId="0" borderId="26" xfId="0" applyFont="1" applyBorder="1" applyAlignment="1">
      <alignment horizontal="center" readingOrder="1"/>
    </xf>
    <xf numFmtId="0" fontId="0" fillId="0" borderId="14" xfId="0" applyBorder="1" applyAlignment="1">
      <alignment horizontal="center"/>
    </xf>
    <xf numFmtId="0" fontId="0" fillId="0" borderId="0" xfId="0" applyAlignment="1">
      <alignment horizontal="center"/>
    </xf>
    <xf numFmtId="0" fontId="1" fillId="0" borderId="1" xfId="0" applyFont="1" applyBorder="1" applyAlignment="1">
      <alignment horizontal="center" readingOrder="1"/>
    </xf>
    <xf numFmtId="0" fontId="1" fillId="0" borderId="2" xfId="0" applyFont="1" applyBorder="1" applyAlignment="1">
      <alignment horizontal="center" readingOrder="1"/>
    </xf>
    <xf numFmtId="0" fontId="1" fillId="0" borderId="35" xfId="0" applyFont="1" applyBorder="1" applyAlignment="1">
      <alignment horizontal="center" readingOrder="1"/>
    </xf>
    <xf numFmtId="0" fontId="1" fillId="0" borderId="44" xfId="0" applyFont="1" applyBorder="1" applyAlignment="1">
      <alignment horizontal="center" readingOrder="1"/>
    </xf>
    <xf numFmtId="0" fontId="1" fillId="0" borderId="34" xfId="0" applyFont="1" applyBorder="1" applyAlignment="1">
      <alignment horizontal="center" readingOrder="1"/>
    </xf>
    <xf numFmtId="0" fontId="1" fillId="0" borderId="0" xfId="0" applyFont="1" applyBorder="1" applyAlignment="1">
      <alignment readingOrder="1"/>
    </xf>
    <xf numFmtId="0" fontId="1" fillId="0" borderId="14" xfId="0" applyFont="1" applyBorder="1" applyAlignment="1">
      <alignment horizontal="center" readingOrder="1"/>
    </xf>
    <xf numFmtId="0" fontId="1" fillId="0" borderId="14" xfId="0" applyFont="1" applyBorder="1" applyAlignment="1">
      <alignment horizontal="left" readingOrder="1"/>
    </xf>
    <xf numFmtId="0" fontId="1" fillId="0" borderId="0" xfId="0" applyFont="1" applyBorder="1" applyAlignment="1">
      <alignment horizontal="left" readingOrder="1"/>
    </xf>
    <xf numFmtId="0" fontId="0" fillId="0" borderId="0" xfId="0" applyAlignment="1">
      <alignment horizontal="left"/>
    </xf>
    <xf numFmtId="0" fontId="5" fillId="0" borderId="0" xfId="0" applyFont="1" applyAlignment="1">
      <alignment horizontal="center"/>
    </xf>
    <xf numFmtId="0" fontId="0" fillId="0" borderId="0" xfId="0" applyAlignment="1">
      <alignment horizontal="center" wrapText="1"/>
    </xf>
    <xf numFmtId="0" fontId="0" fillId="0" borderId="26" xfId="0" applyBorder="1" applyAlignment="1">
      <alignment horizontal="center"/>
    </xf>
    <xf numFmtId="0" fontId="0" fillId="0" borderId="37" xfId="0" applyBorder="1" applyAlignment="1">
      <alignment horizontal="center" wrapText="1"/>
    </xf>
    <xf numFmtId="0" fontId="0" fillId="0" borderId="43" xfId="0" applyBorder="1" applyAlignment="1">
      <alignment horizontal="center" wrapText="1"/>
    </xf>
    <xf numFmtId="0" fontId="0" fillId="0" borderId="36" xfId="0" applyBorder="1" applyAlignment="1">
      <alignment horizontal="center" wrapText="1"/>
    </xf>
    <xf numFmtId="0" fontId="6" fillId="0" borderId="26" xfId="0" applyFont="1" applyBorder="1" applyAlignment="1">
      <alignment horizontal="center"/>
    </xf>
    <xf numFmtId="0" fontId="1" fillId="0" borderId="30" xfId="0" applyFont="1" applyBorder="1" applyAlignment="1">
      <alignment horizontal="center" readingOrder="1"/>
    </xf>
    <xf numFmtId="0" fontId="1" fillId="0" borderId="31" xfId="0" applyFont="1" applyBorder="1" applyAlignment="1">
      <alignment horizontal="center" readingOrder="1"/>
    </xf>
    <xf numFmtId="14" fontId="1" fillId="0" borderId="1" xfId="0" applyNumberFormat="1" applyFont="1" applyBorder="1" applyAlignment="1">
      <alignment horizontal="center" readingOrder="1"/>
    </xf>
    <xf numFmtId="0" fontId="1" fillId="0" borderId="23" xfId="0" applyFont="1" applyBorder="1" applyAlignment="1">
      <alignment horizontal="center" readingOrder="1"/>
    </xf>
    <xf numFmtId="0" fontId="1" fillId="0" borderId="32" xfId="0" applyFont="1" applyBorder="1" applyAlignment="1">
      <alignment horizontal="center" readingOrder="1"/>
    </xf>
    <xf numFmtId="14" fontId="1" fillId="0" borderId="30" xfId="0" applyNumberFormat="1" applyFont="1" applyBorder="1" applyAlignment="1">
      <alignment horizontal="center" readingOrder="1"/>
    </xf>
    <xf numFmtId="14" fontId="1" fillId="0" borderId="31" xfId="0" applyNumberFormat="1" applyFont="1" applyBorder="1" applyAlignment="1">
      <alignment horizontal="center" readingOrder="1"/>
    </xf>
    <xf numFmtId="14" fontId="1" fillId="0" borderId="32" xfId="0" applyNumberFormat="1" applyFont="1" applyBorder="1" applyAlignment="1">
      <alignment horizontal="center" readingOrder="1"/>
    </xf>
    <xf numFmtId="0" fontId="3" fillId="0" borderId="38" xfId="0" applyFont="1" applyBorder="1" applyAlignment="1">
      <alignment readingOrder="1"/>
    </xf>
    <xf numFmtId="0" fontId="1" fillId="0" borderId="2" xfId="0" applyFont="1" applyBorder="1" applyAlignment="1">
      <alignment readingOrder="1"/>
    </xf>
    <xf numFmtId="0" fontId="1" fillId="0" borderId="3" xfId="0" applyFont="1" applyBorder="1" applyAlignment="1">
      <alignment readingOrder="1"/>
    </xf>
    <xf numFmtId="0" fontId="1" fillId="0" borderId="30" xfId="0" applyNumberFormat="1" applyFont="1" applyBorder="1" applyAlignment="1">
      <alignment horizontal="center" readingOrder="1"/>
    </xf>
    <xf numFmtId="0" fontId="1" fillId="0" borderId="31" xfId="0" applyNumberFormat="1" applyFont="1" applyBorder="1" applyAlignment="1">
      <alignment horizontal="center" readingOrder="1"/>
    </xf>
    <xf numFmtId="0" fontId="1" fillId="0" borderId="32" xfId="0" applyNumberFormat="1" applyFont="1" applyBorder="1" applyAlignment="1">
      <alignment horizontal="center" readingOrder="1"/>
    </xf>
    <xf numFmtId="22" fontId="1" fillId="0" borderId="30" xfId="0" applyNumberFormat="1" applyFont="1" applyBorder="1" applyAlignment="1">
      <alignment horizontal="center" readingOrder="1"/>
    </xf>
    <xf numFmtId="22" fontId="1" fillId="0" borderId="31" xfId="0" applyNumberFormat="1" applyFont="1" applyBorder="1" applyAlignment="1">
      <alignment horizontal="center" readingOrder="1"/>
    </xf>
    <xf numFmtId="22" fontId="1" fillId="0" borderId="32" xfId="0" applyNumberFormat="1" applyFont="1" applyBorder="1" applyAlignment="1">
      <alignment horizontal="center" readingOrder="1"/>
    </xf>
    <xf numFmtId="22" fontId="1" fillId="0" borderId="14" xfId="0" applyNumberFormat="1" applyFont="1" applyBorder="1" applyAlignment="1">
      <alignment horizontal="center" readingOrder="1"/>
    </xf>
    <xf numFmtId="22" fontId="1" fillId="0" borderId="0" xfId="0" applyNumberFormat="1" applyFont="1" applyBorder="1" applyAlignment="1">
      <alignment horizontal="center" readingOrder="1"/>
    </xf>
    <xf numFmtId="22" fontId="1" fillId="0" borderId="18" xfId="0" applyNumberFormat="1" applyFont="1" applyBorder="1" applyAlignment="1">
      <alignment horizontal="center" readingOrder="1"/>
    </xf>
    <xf numFmtId="0" fontId="1" fillId="0" borderId="18" xfId="0" applyFont="1" applyBorder="1" applyAlignment="1">
      <alignment horizontal="center" readingOrder="1"/>
    </xf>
  </cellXfs>
  <cellStyles count="1">
    <cellStyle name="Normal" xfId="0" builtinId="0"/>
  </cellStyles>
  <dxfs count="10">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dxf>
    <dxf>
      <font>
        <b/>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outline="0">
        <left style="thin">
          <color rgb="FF000000"/>
        </left>
        <right style="thin">
          <color rgb="FF00000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7A6FD3-1A62-4813-92CC-0ADFCAEDFD1C}" name="Table1" displayName="Table1" ref="A4:E13" totalsRowShown="0" headerRowDxfId="9" dataDxfId="8" headerRowBorderDxfId="6" tableBorderDxfId="7" totalsRowBorderDxfId="5">
  <autoFilter ref="A4:E13" xr:uid="{917A6FD3-1A62-4813-92CC-0ADFCAEDFD1C}"/>
  <tableColumns count="5">
    <tableColumn id="1" xr3:uid="{DF1DD0A9-A3AB-402D-BAB8-6AB938E9D0DD}" name="Customer Name" dataDxfId="4"/>
    <tableColumn id="2" xr3:uid="{F8069B6E-3489-42E8-9E12-46239D7C1DAA}" name="Product Name" dataDxfId="3"/>
    <tableColumn id="3" xr3:uid="{DF6EDF03-C2EF-4139-97F7-662FEA2AE0E4}" name="Category" dataDxfId="2"/>
    <tableColumn id="4" xr3:uid="{E9768CC1-5132-4CC2-83BA-ECEF81C09494}" name="Quantity" dataDxfId="1"/>
    <tableColumn id="5" xr3:uid="{D28D33CD-0C86-4FD1-BE86-D74CC936E085}" name="Unit Price ($)"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topLeftCell="A14" workbookViewId="0">
      <selection activeCell="O22" sqref="O22"/>
    </sheetView>
  </sheetViews>
  <sheetFormatPr defaultRowHeight="15"/>
  <sheetData>
    <row r="1" spans="1:13" ht="15" customHeight="1">
      <c r="A1" s="56" t="s">
        <v>0</v>
      </c>
      <c r="B1" s="57"/>
      <c r="C1" s="57"/>
      <c r="D1" s="57"/>
      <c r="E1" s="57"/>
      <c r="F1" s="57"/>
      <c r="G1" s="57"/>
      <c r="H1" s="57"/>
      <c r="I1" s="57"/>
      <c r="J1" s="57"/>
      <c r="K1" s="57"/>
      <c r="L1" s="57"/>
      <c r="M1" s="57"/>
    </row>
    <row r="2" spans="1:13">
      <c r="A2" s="56"/>
      <c r="B2" s="57"/>
      <c r="C2" s="57"/>
      <c r="D2" s="57"/>
      <c r="E2" s="57"/>
      <c r="F2" s="57"/>
      <c r="G2" s="57"/>
      <c r="H2" s="57"/>
      <c r="I2" s="57"/>
      <c r="J2" s="57"/>
      <c r="K2" s="57"/>
      <c r="L2" s="57"/>
      <c r="M2" s="57"/>
    </row>
    <row r="3" spans="1:13">
      <c r="A3" s="56"/>
      <c r="B3" s="57"/>
      <c r="C3" s="57"/>
      <c r="D3" s="57"/>
      <c r="E3" s="57"/>
      <c r="F3" s="57"/>
      <c r="G3" s="57"/>
      <c r="H3" s="57"/>
      <c r="I3" s="57"/>
      <c r="J3" s="57"/>
      <c r="K3" s="57"/>
      <c r="L3" s="57"/>
      <c r="M3" s="57"/>
    </row>
    <row r="4" spans="1:13" ht="15" customHeight="1">
      <c r="A4" s="56" t="s">
        <v>1</v>
      </c>
      <c r="B4" s="57"/>
      <c r="C4" s="57"/>
      <c r="D4" s="57"/>
      <c r="E4" s="57"/>
      <c r="F4" s="57"/>
      <c r="G4" s="57"/>
      <c r="H4" s="57"/>
      <c r="I4" s="57"/>
      <c r="J4" s="57"/>
      <c r="K4" s="57"/>
      <c r="L4" s="57"/>
      <c r="M4" s="57"/>
    </row>
    <row r="5" spans="1:13">
      <c r="A5" s="56"/>
      <c r="B5" s="57"/>
      <c r="C5" s="57"/>
      <c r="D5" s="57"/>
      <c r="E5" s="57"/>
      <c r="F5" s="57"/>
      <c r="G5" s="57"/>
      <c r="H5" s="57"/>
      <c r="I5" s="57"/>
      <c r="J5" s="57"/>
      <c r="K5" s="57"/>
      <c r="L5" s="57"/>
      <c r="M5" s="57"/>
    </row>
    <row r="6" spans="1:13">
      <c r="A6" s="56"/>
      <c r="B6" s="57"/>
      <c r="C6" s="57"/>
      <c r="D6" s="57"/>
      <c r="E6" s="57"/>
      <c r="F6" s="57"/>
      <c r="G6" s="57"/>
      <c r="H6" s="57"/>
      <c r="I6" s="57"/>
      <c r="J6" s="57"/>
      <c r="K6" s="57"/>
      <c r="L6" s="57"/>
      <c r="M6" s="57"/>
    </row>
    <row r="7" spans="1:13">
      <c r="A7" s="56"/>
      <c r="B7" s="57"/>
      <c r="C7" s="57"/>
      <c r="D7" s="57"/>
      <c r="E7" s="57"/>
      <c r="F7" s="57"/>
      <c r="G7" s="57"/>
      <c r="H7" s="57"/>
      <c r="I7" s="57"/>
      <c r="J7" s="57"/>
      <c r="K7" s="57"/>
      <c r="L7" s="57"/>
      <c r="M7" s="57"/>
    </row>
    <row r="8" spans="1:13">
      <c r="A8" s="56"/>
      <c r="B8" s="57"/>
      <c r="C8" s="57"/>
      <c r="D8" s="57"/>
      <c r="E8" s="57"/>
      <c r="F8" s="57"/>
      <c r="G8" s="57"/>
      <c r="H8" s="57"/>
      <c r="I8" s="57"/>
      <c r="J8" s="57"/>
      <c r="K8" s="57"/>
      <c r="L8" s="57"/>
      <c r="M8" s="57"/>
    </row>
    <row r="9" spans="1:13" ht="15" customHeight="1">
      <c r="A9" s="59" t="s">
        <v>2</v>
      </c>
      <c r="B9" s="60"/>
      <c r="C9" s="60"/>
      <c r="D9" s="60"/>
      <c r="E9" s="61"/>
      <c r="F9" s="54" t="s">
        <v>3</v>
      </c>
      <c r="G9" s="55"/>
      <c r="H9" s="55"/>
      <c r="I9" s="55"/>
      <c r="J9" s="55"/>
      <c r="K9" s="55"/>
      <c r="L9" s="55"/>
      <c r="M9" s="55"/>
    </row>
    <row r="10" spans="1:13">
      <c r="A10" s="62"/>
      <c r="B10" s="63"/>
      <c r="C10" s="63"/>
      <c r="D10" s="63"/>
      <c r="E10" s="64"/>
      <c r="F10" s="54"/>
      <c r="G10" s="55"/>
      <c r="H10" s="55"/>
      <c r="I10" s="55"/>
      <c r="J10" s="55"/>
      <c r="K10" s="55"/>
      <c r="L10" s="55"/>
      <c r="M10" s="55"/>
    </row>
    <row r="11" spans="1:13">
      <c r="A11" s="65"/>
      <c r="B11" s="66"/>
      <c r="C11" s="66"/>
      <c r="D11" s="66"/>
      <c r="E11" s="67"/>
      <c r="F11" s="54"/>
      <c r="G11" s="55"/>
      <c r="H11" s="55"/>
      <c r="I11" s="55"/>
      <c r="J11" s="55"/>
      <c r="K11" s="55"/>
      <c r="L11" s="55"/>
      <c r="M11" s="55"/>
    </row>
    <row r="12" spans="1:13" ht="15" customHeight="1">
      <c r="A12" s="58" t="s">
        <v>4</v>
      </c>
      <c r="B12" s="58"/>
      <c r="C12" s="58"/>
      <c r="D12" s="58"/>
      <c r="E12" s="58"/>
      <c r="F12" s="55" t="s">
        <v>5</v>
      </c>
      <c r="G12" s="55"/>
      <c r="H12" s="55"/>
      <c r="I12" s="55"/>
      <c r="J12" s="55"/>
      <c r="K12" s="55"/>
      <c r="L12" s="55"/>
      <c r="M12" s="55"/>
    </row>
    <row r="13" spans="1:13">
      <c r="A13" s="55"/>
      <c r="B13" s="55"/>
      <c r="C13" s="55"/>
      <c r="D13" s="55"/>
      <c r="E13" s="55"/>
      <c r="F13" s="55"/>
      <c r="G13" s="55"/>
      <c r="H13" s="55"/>
      <c r="I13" s="55"/>
      <c r="J13" s="55"/>
      <c r="K13" s="55"/>
      <c r="L13" s="55"/>
      <c r="M13" s="55"/>
    </row>
    <row r="14" spans="1:13">
      <c r="A14" s="55"/>
      <c r="B14" s="55"/>
      <c r="C14" s="55"/>
      <c r="D14" s="55"/>
      <c r="E14" s="55"/>
      <c r="F14" s="55"/>
      <c r="G14" s="55"/>
      <c r="H14" s="55"/>
      <c r="I14" s="55"/>
      <c r="J14" s="55"/>
      <c r="K14" s="55"/>
      <c r="L14" s="55"/>
      <c r="M14" s="55"/>
    </row>
    <row r="15" spans="1:13">
      <c r="A15" s="55"/>
      <c r="B15" s="55"/>
      <c r="C15" s="55"/>
      <c r="D15" s="55"/>
      <c r="E15" s="55"/>
      <c r="F15" s="55"/>
      <c r="G15" s="55"/>
      <c r="H15" s="55"/>
      <c r="I15" s="55"/>
      <c r="J15" s="55"/>
      <c r="K15" s="55"/>
      <c r="L15" s="55"/>
      <c r="M15" s="55"/>
    </row>
    <row r="16" spans="1:13">
      <c r="A16" s="55"/>
      <c r="B16" s="55"/>
      <c r="C16" s="55"/>
      <c r="D16" s="55"/>
      <c r="E16" s="55"/>
      <c r="F16" s="55"/>
      <c r="G16" s="55"/>
      <c r="H16" s="55"/>
      <c r="I16" s="55"/>
      <c r="J16" s="55"/>
      <c r="K16" s="55"/>
      <c r="L16" s="55"/>
      <c r="M16" s="55"/>
    </row>
    <row r="17" spans="1:13">
      <c r="A17" s="55"/>
      <c r="B17" s="55"/>
      <c r="C17" s="55"/>
      <c r="D17" s="55"/>
      <c r="E17" s="55"/>
      <c r="F17" s="55"/>
      <c r="G17" s="55"/>
      <c r="H17" s="55"/>
      <c r="I17" s="55"/>
      <c r="J17" s="55"/>
      <c r="K17" s="55"/>
      <c r="L17" s="55"/>
      <c r="M17" s="55"/>
    </row>
    <row r="18" spans="1:13">
      <c r="A18" s="55"/>
      <c r="B18" s="55"/>
      <c r="C18" s="55"/>
      <c r="D18" s="55"/>
      <c r="E18" s="55"/>
      <c r="F18" s="55"/>
      <c r="G18" s="55"/>
      <c r="H18" s="55"/>
      <c r="I18" s="55"/>
      <c r="J18" s="55"/>
      <c r="K18" s="55"/>
      <c r="L18" s="55"/>
      <c r="M18" s="55"/>
    </row>
    <row r="19" spans="1:13">
      <c r="A19" s="55"/>
      <c r="B19" s="55"/>
      <c r="C19" s="55"/>
      <c r="D19" s="55"/>
      <c r="E19" s="55"/>
      <c r="F19" s="55"/>
      <c r="G19" s="55"/>
      <c r="H19" s="55"/>
      <c r="I19" s="55"/>
      <c r="J19" s="55"/>
      <c r="K19" s="55"/>
      <c r="L19" s="55"/>
      <c r="M19" s="55"/>
    </row>
    <row r="20" spans="1:13">
      <c r="A20" s="55"/>
      <c r="B20" s="55"/>
      <c r="C20" s="55"/>
      <c r="D20" s="55"/>
      <c r="E20" s="55"/>
      <c r="F20" s="55"/>
      <c r="G20" s="55"/>
      <c r="H20" s="55"/>
      <c r="I20" s="55"/>
      <c r="J20" s="55"/>
      <c r="K20" s="55"/>
      <c r="L20" s="55"/>
      <c r="M20" s="55"/>
    </row>
    <row r="21" spans="1:13">
      <c r="A21" s="55"/>
      <c r="B21" s="55"/>
      <c r="C21" s="55"/>
      <c r="D21" s="55"/>
      <c r="E21" s="55"/>
      <c r="F21" s="55"/>
      <c r="G21" s="55"/>
      <c r="H21" s="55"/>
      <c r="I21" s="55"/>
      <c r="J21" s="55"/>
      <c r="K21" s="55"/>
      <c r="L21" s="55"/>
      <c r="M21" s="55"/>
    </row>
    <row r="22" spans="1:13">
      <c r="A22" s="55"/>
      <c r="B22" s="55"/>
      <c r="C22" s="55"/>
      <c r="D22" s="55"/>
      <c r="E22" s="55"/>
      <c r="F22" s="55"/>
      <c r="G22" s="55"/>
      <c r="H22" s="55"/>
      <c r="I22" s="55"/>
      <c r="J22" s="55"/>
      <c r="K22" s="55"/>
      <c r="L22" s="55"/>
      <c r="M22" s="55"/>
    </row>
    <row r="23" spans="1:13">
      <c r="A23" s="55"/>
      <c r="B23" s="55"/>
      <c r="C23" s="55"/>
      <c r="D23" s="55"/>
      <c r="E23" s="55"/>
      <c r="F23" s="55"/>
      <c r="G23" s="55"/>
      <c r="H23" s="55"/>
      <c r="I23" s="55"/>
      <c r="J23" s="55"/>
      <c r="K23" s="55"/>
      <c r="L23" s="55"/>
      <c r="M23" s="55"/>
    </row>
    <row r="24" spans="1:13">
      <c r="A24" s="55"/>
      <c r="B24" s="55"/>
      <c r="C24" s="55"/>
      <c r="D24" s="55"/>
      <c r="E24" s="55"/>
      <c r="F24" s="55"/>
      <c r="G24" s="55"/>
      <c r="H24" s="55"/>
      <c r="I24" s="55"/>
      <c r="J24" s="55"/>
      <c r="K24" s="55"/>
      <c r="L24" s="55"/>
      <c r="M24" s="55"/>
    </row>
    <row r="25" spans="1:13">
      <c r="A25" s="55"/>
      <c r="B25" s="55"/>
      <c r="C25" s="55"/>
      <c r="D25" s="55"/>
      <c r="E25" s="55"/>
      <c r="F25" s="55"/>
      <c r="G25" s="55"/>
      <c r="H25" s="55"/>
      <c r="I25" s="55"/>
      <c r="J25" s="55"/>
      <c r="K25" s="55"/>
      <c r="L25" s="55"/>
      <c r="M25" s="55"/>
    </row>
    <row r="26" spans="1:13">
      <c r="A26" s="55"/>
      <c r="B26" s="55"/>
      <c r="C26" s="55"/>
      <c r="D26" s="55"/>
      <c r="E26" s="55"/>
      <c r="F26" s="55"/>
      <c r="G26" s="55"/>
      <c r="H26" s="55"/>
      <c r="I26" s="55"/>
      <c r="J26" s="55"/>
      <c r="K26" s="55"/>
      <c r="L26" s="55"/>
      <c r="M26" s="55"/>
    </row>
    <row r="27" spans="1:13">
      <c r="A27" s="55"/>
      <c r="B27" s="55"/>
      <c r="C27" s="55"/>
      <c r="D27" s="55"/>
      <c r="E27" s="55"/>
      <c r="F27" s="55"/>
      <c r="G27" s="55"/>
      <c r="H27" s="55"/>
      <c r="I27" s="55"/>
      <c r="J27" s="55"/>
      <c r="K27" s="55"/>
      <c r="L27" s="55"/>
      <c r="M27" s="55"/>
    </row>
    <row r="28" spans="1:13">
      <c r="A28" s="55"/>
      <c r="B28" s="55"/>
      <c r="C28" s="55"/>
      <c r="D28" s="55"/>
      <c r="E28" s="55"/>
      <c r="F28" s="55"/>
      <c r="G28" s="55"/>
      <c r="H28" s="55"/>
      <c r="I28" s="55"/>
      <c r="J28" s="55"/>
      <c r="K28" s="55"/>
      <c r="L28" s="55"/>
      <c r="M28" s="55"/>
    </row>
    <row r="29" spans="1:13">
      <c r="A29" s="55"/>
      <c r="B29" s="55"/>
      <c r="C29" s="55"/>
      <c r="D29" s="55"/>
      <c r="E29" s="55"/>
      <c r="F29" s="55"/>
      <c r="G29" s="55"/>
      <c r="H29" s="55"/>
      <c r="I29" s="55"/>
      <c r="J29" s="55"/>
      <c r="K29" s="55"/>
      <c r="L29" s="55"/>
      <c r="M29" s="55"/>
    </row>
  </sheetData>
  <mergeCells count="6">
    <mergeCell ref="F9:M11"/>
    <mergeCell ref="A4:M8"/>
    <mergeCell ref="A1:M3"/>
    <mergeCell ref="A12:E29"/>
    <mergeCell ref="F12:M29"/>
    <mergeCell ref="A9: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5CB0A-7A7F-4C48-9FC3-809ED8B44D69}">
  <dimension ref="A1:M22"/>
  <sheetViews>
    <sheetView workbookViewId="0">
      <selection activeCell="K5" sqref="K5"/>
    </sheetView>
  </sheetViews>
  <sheetFormatPr defaultRowHeight="15"/>
  <cols>
    <col min="1" max="1" width="20.28515625" bestFit="1" customWidth="1"/>
    <col min="2" max="2" width="11.140625" bestFit="1" customWidth="1"/>
    <col min="7" max="7" width="9.5703125" bestFit="1" customWidth="1"/>
    <col min="8" max="8" width="11.140625" bestFit="1" customWidth="1"/>
    <col min="11" max="11" width="11.42578125" customWidth="1"/>
    <col min="12" max="12" width="11.140625" bestFit="1" customWidth="1"/>
  </cols>
  <sheetData>
    <row r="1" spans="1:13" ht="15" customHeight="1">
      <c r="A1" s="74" t="s">
        <v>6</v>
      </c>
      <c r="B1" s="75"/>
      <c r="C1" s="75"/>
      <c r="D1" s="75"/>
      <c r="E1" s="75"/>
      <c r="F1" s="76"/>
      <c r="G1" s="1"/>
      <c r="H1" s="1"/>
      <c r="I1" s="1"/>
      <c r="J1" s="1"/>
      <c r="K1" s="1"/>
      <c r="L1" s="19"/>
      <c r="M1" s="46"/>
    </row>
    <row r="2" spans="1:13">
      <c r="A2" s="56"/>
      <c r="B2" s="57"/>
      <c r="C2" s="57"/>
      <c r="D2" s="57"/>
      <c r="E2" s="57"/>
      <c r="F2" s="77"/>
      <c r="G2" s="2"/>
      <c r="H2" s="2"/>
      <c r="I2" s="2"/>
      <c r="J2" s="2"/>
      <c r="K2" s="2"/>
      <c r="L2" s="14"/>
      <c r="M2" s="46"/>
    </row>
    <row r="3" spans="1:13">
      <c r="A3" s="56"/>
      <c r="B3" s="57"/>
      <c r="C3" s="57"/>
      <c r="D3" s="57"/>
      <c r="E3" s="57"/>
      <c r="F3" s="77"/>
      <c r="G3" s="2"/>
      <c r="H3" s="2"/>
      <c r="I3" s="2"/>
      <c r="J3" s="2"/>
      <c r="K3" s="2"/>
      <c r="L3" s="14"/>
      <c r="M3" s="46"/>
    </row>
    <row r="4" spans="1:13">
      <c r="A4" s="78"/>
      <c r="B4" s="79"/>
      <c r="C4" s="79"/>
      <c r="D4" s="79"/>
      <c r="E4" s="79"/>
      <c r="F4" s="80"/>
      <c r="G4" s="6"/>
      <c r="H4" s="6"/>
      <c r="I4" s="6"/>
      <c r="J4" s="2"/>
      <c r="K4" s="72" t="s">
        <v>7</v>
      </c>
      <c r="L4" s="73"/>
      <c r="M4" s="46"/>
    </row>
    <row r="5" spans="1:13">
      <c r="A5" s="5"/>
      <c r="B5" s="6"/>
      <c r="C5" s="6"/>
      <c r="D5" s="2"/>
      <c r="E5" s="2"/>
      <c r="F5" s="3"/>
      <c r="G5" s="8" t="s">
        <v>8</v>
      </c>
      <c r="H5" s="8" t="s">
        <v>9</v>
      </c>
      <c r="I5" s="8" t="s">
        <v>10</v>
      </c>
      <c r="J5" s="14"/>
      <c r="K5" s="15" t="str" cm="1">
        <f t="array" ref="K5:M7" xml:space="preserve"> _xlfn.SORTBY($G$6:$I$8,$H$6:$H$8,1,$I$6:$I$8,-1)</f>
        <v>Pranav</v>
      </c>
      <c r="L5" s="15" t="str">
        <v>HR</v>
      </c>
      <c r="M5" s="15">
        <v>5000</v>
      </c>
    </row>
    <row r="6" spans="1:13">
      <c r="A6" s="9" t="s">
        <v>8</v>
      </c>
      <c r="B6" s="8" t="s">
        <v>9</v>
      </c>
      <c r="C6" s="8" t="s">
        <v>10</v>
      </c>
      <c r="D6" s="2"/>
      <c r="E6" s="2"/>
      <c r="F6" s="3"/>
      <c r="G6" s="7" t="s">
        <v>11</v>
      </c>
      <c r="H6" s="7" t="s">
        <v>12</v>
      </c>
      <c r="I6" s="7">
        <v>4000</v>
      </c>
      <c r="J6" s="14"/>
      <c r="K6" s="16" t="str">
        <v>Sonu</v>
      </c>
      <c r="L6" s="16" t="str">
        <v>IT</v>
      </c>
      <c r="M6" s="16">
        <v>4000</v>
      </c>
    </row>
    <row r="7" spans="1:13">
      <c r="A7" s="10" t="s">
        <v>13</v>
      </c>
      <c r="B7" s="7" t="s">
        <v>14</v>
      </c>
      <c r="C7" s="7">
        <v>5000</v>
      </c>
      <c r="D7" s="2"/>
      <c r="E7" s="2"/>
      <c r="F7" s="3"/>
      <c r="G7" s="7" t="s">
        <v>13</v>
      </c>
      <c r="H7" s="7" t="s">
        <v>14</v>
      </c>
      <c r="I7" s="7">
        <v>5000</v>
      </c>
      <c r="J7" s="14"/>
      <c r="K7" s="16" t="str">
        <v>Rahul</v>
      </c>
      <c r="L7" s="16" t="str">
        <v>IT</v>
      </c>
      <c r="M7" s="16">
        <v>2500</v>
      </c>
    </row>
    <row r="8" spans="1:13">
      <c r="A8" s="10" t="s">
        <v>11</v>
      </c>
      <c r="B8" s="7" t="s">
        <v>12</v>
      </c>
      <c r="C8" s="7">
        <v>4000</v>
      </c>
      <c r="D8" s="2"/>
      <c r="E8" s="2"/>
      <c r="F8" s="3"/>
      <c r="G8" s="7" t="s">
        <v>15</v>
      </c>
      <c r="H8" s="7" t="s">
        <v>12</v>
      </c>
      <c r="I8" s="7">
        <v>2500</v>
      </c>
      <c r="J8" s="14"/>
      <c r="K8" s="46"/>
      <c r="L8" s="46"/>
      <c r="M8" s="46"/>
    </row>
    <row r="9" spans="1:13">
      <c r="A9" s="10" t="s">
        <v>15</v>
      </c>
      <c r="B9" s="7" t="s">
        <v>12</v>
      </c>
      <c r="C9" s="7">
        <v>2500</v>
      </c>
      <c r="D9" s="2"/>
      <c r="E9" s="2"/>
      <c r="F9" s="2"/>
      <c r="G9" s="2"/>
      <c r="H9" s="2"/>
      <c r="I9" s="2"/>
      <c r="J9" s="2"/>
      <c r="K9" s="18"/>
      <c r="L9" s="46"/>
      <c r="M9" s="46"/>
    </row>
    <row r="10" spans="1:13" ht="15" customHeight="1">
      <c r="A10" s="11"/>
      <c r="B10" s="12"/>
      <c r="C10" s="12"/>
      <c r="D10" s="2"/>
      <c r="E10" s="2"/>
      <c r="F10" s="2"/>
      <c r="G10" s="68" t="s">
        <v>16</v>
      </c>
      <c r="H10" s="68"/>
      <c r="I10" s="68"/>
      <c r="J10" s="68"/>
      <c r="K10" s="68"/>
      <c r="L10" s="46"/>
      <c r="M10" s="46"/>
    </row>
    <row r="11" spans="1:13">
      <c r="A11" s="4" t="s">
        <v>17</v>
      </c>
      <c r="B11" s="2"/>
      <c r="C11" s="2"/>
      <c r="D11" s="2"/>
      <c r="E11" s="2"/>
      <c r="F11" s="2"/>
      <c r="G11" s="69"/>
      <c r="H11" s="69"/>
      <c r="I11" s="69"/>
      <c r="J11" s="69"/>
      <c r="K11" s="69"/>
      <c r="L11" s="46"/>
      <c r="M11" s="46"/>
    </row>
    <row r="12" spans="1:13" ht="15" customHeight="1">
      <c r="A12" s="68" t="s">
        <v>18</v>
      </c>
      <c r="B12" s="68"/>
      <c r="C12" s="68"/>
      <c r="D12" s="68"/>
      <c r="E12" s="68"/>
      <c r="F12" s="2"/>
      <c r="G12" s="69"/>
      <c r="H12" s="69"/>
      <c r="I12" s="69"/>
      <c r="J12" s="69"/>
      <c r="K12" s="69"/>
      <c r="L12" s="46"/>
      <c r="M12" s="46"/>
    </row>
    <row r="13" spans="1:13">
      <c r="A13" s="69"/>
      <c r="B13" s="69"/>
      <c r="C13" s="69"/>
      <c r="D13" s="69"/>
      <c r="E13" s="69"/>
      <c r="F13" s="2"/>
      <c r="G13" s="69"/>
      <c r="H13" s="69"/>
      <c r="I13" s="69"/>
      <c r="J13" s="69"/>
      <c r="K13" s="69"/>
      <c r="L13" s="46"/>
      <c r="M13" s="46"/>
    </row>
    <row r="14" spans="1:13">
      <c r="A14" s="69"/>
      <c r="B14" s="69"/>
      <c r="C14" s="69"/>
      <c r="D14" s="69"/>
      <c r="E14" s="69"/>
      <c r="F14" s="2"/>
      <c r="G14" s="69"/>
      <c r="H14" s="69"/>
      <c r="I14" s="69"/>
      <c r="J14" s="69"/>
      <c r="K14" s="69"/>
      <c r="L14" s="46"/>
      <c r="M14" s="46"/>
    </row>
    <row r="15" spans="1:13">
      <c r="A15" s="69"/>
      <c r="B15" s="69"/>
      <c r="C15" s="69"/>
      <c r="D15" s="69"/>
      <c r="E15" s="69"/>
      <c r="F15" s="2"/>
      <c r="G15" s="69"/>
      <c r="H15" s="69"/>
      <c r="I15" s="69"/>
      <c r="J15" s="69"/>
      <c r="K15" s="69"/>
      <c r="L15" s="46"/>
      <c r="M15" s="46"/>
    </row>
    <row r="16" spans="1:13">
      <c r="A16" s="69"/>
      <c r="B16" s="69"/>
      <c r="C16" s="69"/>
      <c r="D16" s="69"/>
      <c r="E16" s="69"/>
      <c r="F16" s="2"/>
      <c r="G16" s="69"/>
      <c r="H16" s="69"/>
      <c r="I16" s="69"/>
      <c r="J16" s="69"/>
      <c r="K16" s="69"/>
      <c r="L16" s="46"/>
      <c r="M16" s="46"/>
    </row>
    <row r="17" spans="1:13">
      <c r="A17" s="69"/>
      <c r="B17" s="69"/>
      <c r="C17" s="69"/>
      <c r="D17" s="69"/>
      <c r="E17" s="69"/>
      <c r="F17" s="2"/>
      <c r="G17" s="69"/>
      <c r="H17" s="69"/>
      <c r="I17" s="69"/>
      <c r="J17" s="69"/>
      <c r="K17" s="69"/>
      <c r="L17" s="46"/>
      <c r="M17" s="46"/>
    </row>
    <row r="18" spans="1:13">
      <c r="A18" s="69"/>
      <c r="B18" s="69"/>
      <c r="C18" s="69"/>
      <c r="D18" s="69"/>
      <c r="E18" s="69"/>
      <c r="F18" s="2"/>
      <c r="G18" s="69"/>
      <c r="H18" s="69"/>
      <c r="I18" s="69"/>
      <c r="J18" s="69"/>
      <c r="K18" s="69"/>
      <c r="L18" s="46"/>
      <c r="M18" s="46"/>
    </row>
    <row r="19" spans="1:13">
      <c r="A19" s="69"/>
      <c r="B19" s="69"/>
      <c r="C19" s="69"/>
      <c r="D19" s="69"/>
      <c r="E19" s="69"/>
      <c r="F19" s="70"/>
      <c r="G19" s="69"/>
      <c r="H19" s="69"/>
      <c r="I19" s="69"/>
      <c r="J19" s="69"/>
      <c r="K19" s="69"/>
      <c r="L19" s="46"/>
      <c r="M19" s="46"/>
    </row>
    <row r="20" spans="1:13">
      <c r="A20" s="69"/>
      <c r="B20" s="69"/>
      <c r="C20" s="69"/>
      <c r="D20" s="69"/>
      <c r="E20" s="69"/>
      <c r="F20" s="71"/>
      <c r="G20" s="69"/>
      <c r="H20" s="69"/>
      <c r="I20" s="69"/>
      <c r="J20" s="69"/>
      <c r="K20" s="69"/>
      <c r="L20" s="17"/>
      <c r="M20" s="17"/>
    </row>
    <row r="21" spans="1:13">
      <c r="A21" s="69"/>
      <c r="B21" s="69"/>
      <c r="C21" s="69"/>
      <c r="D21" s="69"/>
      <c r="E21" s="69"/>
      <c r="F21" s="71"/>
      <c r="G21" s="44"/>
      <c r="H21" s="44"/>
      <c r="I21" s="44"/>
      <c r="J21" s="44"/>
      <c r="K21" s="44"/>
      <c r="L21" s="17"/>
      <c r="M21" s="17"/>
    </row>
    <row r="22" spans="1:13">
      <c r="A22" s="69"/>
      <c r="B22" s="69"/>
      <c r="C22" s="69"/>
      <c r="D22" s="69"/>
      <c r="E22" s="69"/>
    </row>
  </sheetData>
  <sortState xmlns:xlrd2="http://schemas.microsoft.com/office/spreadsheetml/2017/richdata2" ref="A7:C9">
    <sortCondition ref="B7:B9"/>
    <sortCondition descending="1" ref="C7:C9"/>
  </sortState>
  <mergeCells count="5">
    <mergeCell ref="A12:E22"/>
    <mergeCell ref="G10:K20"/>
    <mergeCell ref="F19:F21"/>
    <mergeCell ref="K4:L4"/>
    <mergeCell ref="A1: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1C39-EF3C-4ABB-B9A7-6106F136A98B}">
  <dimension ref="A1:O41"/>
  <sheetViews>
    <sheetView topLeftCell="A29" workbookViewId="0">
      <selection activeCell="D40" sqref="D40:F40"/>
    </sheetView>
  </sheetViews>
  <sheetFormatPr defaultRowHeight="15"/>
  <sheetData>
    <row r="1" spans="1:15">
      <c r="A1" s="57" t="s">
        <v>19</v>
      </c>
      <c r="B1" s="57"/>
      <c r="C1" s="57"/>
      <c r="D1" s="57"/>
      <c r="E1" s="57"/>
      <c r="F1" s="57"/>
      <c r="G1" s="57"/>
      <c r="H1" s="57"/>
      <c r="I1" s="57"/>
      <c r="J1" s="57"/>
      <c r="K1" s="57"/>
      <c r="L1" s="57"/>
      <c r="M1" s="57"/>
    </row>
    <row r="2" spans="1:15">
      <c r="A2" s="57"/>
      <c r="B2" s="57"/>
      <c r="C2" s="57"/>
      <c r="D2" s="57"/>
      <c r="E2" s="57"/>
      <c r="F2" s="57"/>
      <c r="G2" s="57"/>
      <c r="H2" s="57"/>
      <c r="I2" s="57"/>
      <c r="J2" s="57"/>
      <c r="K2" s="57"/>
      <c r="L2" s="57"/>
      <c r="M2" s="57"/>
    </row>
    <row r="3" spans="1:15">
      <c r="A3" s="57"/>
      <c r="B3" s="57"/>
      <c r="C3" s="57"/>
      <c r="D3" s="57"/>
      <c r="E3" s="57"/>
      <c r="F3" s="57"/>
      <c r="G3" s="57"/>
      <c r="H3" s="57"/>
      <c r="I3" s="57"/>
      <c r="J3" s="57"/>
      <c r="K3" s="57"/>
      <c r="L3" s="57"/>
      <c r="M3" s="57"/>
    </row>
    <row r="4" spans="1:15">
      <c r="A4" s="57" t="s">
        <v>20</v>
      </c>
      <c r="B4" s="57"/>
      <c r="C4" s="57"/>
      <c r="D4" s="57"/>
      <c r="E4" s="57"/>
      <c r="F4" s="57"/>
      <c r="G4" s="57"/>
      <c r="H4" s="57"/>
      <c r="I4" s="57"/>
      <c r="J4" s="57"/>
      <c r="K4" s="57"/>
      <c r="L4" s="57"/>
      <c r="M4" s="57"/>
    </row>
    <row r="5" spans="1:15">
      <c r="A5" s="57"/>
      <c r="B5" s="57"/>
      <c r="C5" s="57"/>
      <c r="D5" s="57"/>
      <c r="E5" s="57"/>
      <c r="F5" s="57"/>
      <c r="G5" s="57"/>
      <c r="H5" s="57"/>
      <c r="I5" s="57"/>
      <c r="J5" s="57"/>
      <c r="K5" s="57"/>
      <c r="L5" s="57"/>
      <c r="M5" s="57"/>
    </row>
    <row r="6" spans="1:15">
      <c r="A6" s="57"/>
      <c r="B6" s="57"/>
      <c r="C6" s="57"/>
      <c r="D6" s="57"/>
      <c r="E6" s="57"/>
      <c r="F6" s="57"/>
      <c r="G6" s="57"/>
      <c r="H6" s="57"/>
      <c r="I6" s="57"/>
      <c r="J6" s="57"/>
      <c r="K6" s="57"/>
      <c r="L6" s="57"/>
      <c r="M6" s="57"/>
    </row>
    <row r="7" spans="1:15">
      <c r="A7" s="57"/>
      <c r="B7" s="57"/>
      <c r="C7" s="57"/>
      <c r="D7" s="57"/>
      <c r="E7" s="57"/>
      <c r="F7" s="57"/>
      <c r="G7" s="57"/>
      <c r="H7" s="57"/>
      <c r="I7" s="57"/>
      <c r="J7" s="57"/>
      <c r="K7" s="57"/>
      <c r="L7" s="57"/>
      <c r="M7" s="57"/>
    </row>
    <row r="8" spans="1:15">
      <c r="A8" s="57"/>
      <c r="B8" s="57"/>
      <c r="C8" s="57"/>
      <c r="D8" s="57"/>
      <c r="E8" s="57"/>
      <c r="F8" s="57"/>
      <c r="G8" s="57"/>
      <c r="H8" s="57"/>
      <c r="I8" s="57"/>
      <c r="J8" s="57"/>
      <c r="K8" s="57"/>
      <c r="L8" s="57"/>
      <c r="M8" s="57"/>
    </row>
    <row r="9" spans="1:15">
      <c r="A9" s="57"/>
      <c r="B9" s="57"/>
      <c r="C9" s="57"/>
      <c r="D9" s="57"/>
      <c r="E9" s="57"/>
      <c r="F9" s="57"/>
      <c r="G9" s="57"/>
      <c r="H9" s="57"/>
      <c r="I9" s="57"/>
      <c r="J9" s="57"/>
      <c r="K9" s="57"/>
      <c r="L9" s="57"/>
      <c r="M9" s="57"/>
    </row>
    <row r="10" spans="1:15">
      <c r="A10" s="57"/>
      <c r="B10" s="57"/>
      <c r="C10" s="57"/>
      <c r="D10" s="57"/>
      <c r="E10" s="57"/>
      <c r="F10" s="57"/>
      <c r="G10" s="57"/>
      <c r="H10" s="57"/>
      <c r="I10" s="57"/>
      <c r="J10" s="57"/>
      <c r="K10" s="57"/>
      <c r="L10" s="57"/>
      <c r="M10" s="57"/>
    </row>
    <row r="11" spans="1:15">
      <c r="A11" s="46"/>
      <c r="B11" s="46"/>
      <c r="C11" s="46"/>
      <c r="D11" s="46"/>
      <c r="E11" s="46"/>
      <c r="F11" s="46"/>
      <c r="G11" s="46"/>
      <c r="H11" s="46"/>
      <c r="I11" s="46"/>
      <c r="J11" s="46"/>
      <c r="K11" s="46"/>
      <c r="L11" s="46"/>
      <c r="M11" s="46"/>
    </row>
    <row r="12" spans="1:15">
      <c r="A12" s="13" t="s">
        <v>21</v>
      </c>
      <c r="B12" s="46"/>
      <c r="C12" s="46"/>
      <c r="D12" s="46"/>
      <c r="E12" s="46"/>
      <c r="F12" s="46"/>
      <c r="G12" s="46"/>
      <c r="H12" s="13" t="s">
        <v>22</v>
      </c>
      <c r="I12" s="46"/>
      <c r="J12" s="46"/>
      <c r="K12" s="46"/>
      <c r="L12" s="46"/>
      <c r="M12" s="46"/>
    </row>
    <row r="13" spans="1:15">
      <c r="A13" s="63" t="s">
        <v>23</v>
      </c>
      <c r="B13" s="63"/>
      <c r="C13" s="63"/>
      <c r="D13" s="63"/>
      <c r="E13" s="63"/>
      <c r="F13" s="63"/>
      <c r="G13" s="46"/>
      <c r="H13" s="55" t="s">
        <v>24</v>
      </c>
      <c r="I13" s="55"/>
      <c r="J13" s="55"/>
      <c r="K13" s="55"/>
      <c r="L13" s="55"/>
      <c r="M13" s="55"/>
      <c r="N13" s="55"/>
      <c r="O13" s="55"/>
    </row>
    <row r="14" spans="1:15">
      <c r="A14" s="63"/>
      <c r="B14" s="63"/>
      <c r="C14" s="63"/>
      <c r="D14" s="63"/>
      <c r="E14" s="63"/>
      <c r="F14" s="63"/>
      <c r="G14" s="46"/>
      <c r="H14" s="55"/>
      <c r="I14" s="55"/>
      <c r="J14" s="55"/>
      <c r="K14" s="55"/>
      <c r="L14" s="55"/>
      <c r="M14" s="55"/>
      <c r="N14" s="55"/>
      <c r="O14" s="55"/>
    </row>
    <row r="15" spans="1:15">
      <c r="A15" s="63"/>
      <c r="B15" s="63"/>
      <c r="C15" s="63"/>
      <c r="D15" s="63"/>
      <c r="E15" s="63"/>
      <c r="F15" s="63"/>
      <c r="G15" s="46"/>
      <c r="H15" s="55"/>
      <c r="I15" s="55"/>
      <c r="J15" s="55"/>
      <c r="K15" s="55"/>
      <c r="L15" s="55"/>
      <c r="M15" s="55"/>
      <c r="N15" s="55"/>
      <c r="O15" s="55"/>
    </row>
    <row r="16" spans="1:15">
      <c r="A16" s="63"/>
      <c r="B16" s="63"/>
      <c r="C16" s="63"/>
      <c r="D16" s="63"/>
      <c r="E16" s="63"/>
      <c r="F16" s="63"/>
      <c r="G16" s="46"/>
      <c r="H16" s="55"/>
      <c r="I16" s="55"/>
      <c r="J16" s="55"/>
      <c r="K16" s="55"/>
      <c r="L16" s="55"/>
      <c r="M16" s="55"/>
      <c r="N16" s="55"/>
      <c r="O16" s="55"/>
    </row>
    <row r="17" spans="1:13">
      <c r="A17" s="83" t="s">
        <v>25</v>
      </c>
      <c r="B17" s="83"/>
      <c r="C17" s="83"/>
      <c r="D17" s="93" t="s">
        <v>26</v>
      </c>
      <c r="E17" s="94"/>
      <c r="F17" s="46"/>
      <c r="G17" s="46"/>
      <c r="H17" s="83" t="s">
        <v>25</v>
      </c>
      <c r="I17" s="83"/>
      <c r="J17" s="83"/>
      <c r="K17" s="46" t="s">
        <v>27</v>
      </c>
      <c r="L17" s="46"/>
      <c r="M17" s="46"/>
    </row>
    <row r="18" spans="1:13">
      <c r="A18" s="81" t="s">
        <v>28</v>
      </c>
      <c r="B18" s="81"/>
      <c r="C18" s="81"/>
      <c r="E18" s="46"/>
      <c r="F18" s="46"/>
      <c r="G18" s="46"/>
      <c r="H18" s="81" t="s">
        <v>29</v>
      </c>
      <c r="I18" s="81"/>
      <c r="J18" s="81"/>
      <c r="L18" s="46"/>
      <c r="M18" s="46"/>
    </row>
    <row r="19" spans="1:13">
      <c r="A19" s="81"/>
      <c r="B19" s="81"/>
      <c r="C19" s="81"/>
      <c r="D19" s="93" t="str">
        <f>TRIM(D17)</f>
        <v>J K Rowling</v>
      </c>
      <c r="E19" s="94"/>
      <c r="F19" s="46"/>
      <c r="G19" s="46"/>
      <c r="H19" s="81"/>
      <c r="I19" s="81"/>
      <c r="J19" s="81"/>
      <c r="K19" s="46" t="str">
        <f>LEFT(K17,2)</f>
        <v>NY</v>
      </c>
      <c r="L19" s="46"/>
      <c r="M19" s="46"/>
    </row>
    <row r="20" spans="1:13">
      <c r="A20" s="46"/>
      <c r="B20" s="46"/>
      <c r="C20" s="46"/>
      <c r="D20" s="46"/>
      <c r="E20" s="46"/>
      <c r="F20" s="46"/>
      <c r="G20" s="46"/>
      <c r="H20" s="81"/>
      <c r="I20" s="81"/>
      <c r="J20" s="81"/>
      <c r="K20" s="46"/>
      <c r="L20" s="46"/>
      <c r="M20" s="46"/>
    </row>
    <row r="21" spans="1:13">
      <c r="A21" s="46"/>
      <c r="B21" s="46"/>
      <c r="C21" s="46"/>
      <c r="D21" s="46"/>
      <c r="E21" s="46"/>
      <c r="F21" s="46"/>
      <c r="G21" s="46"/>
      <c r="H21" s="46"/>
      <c r="I21" s="46"/>
      <c r="J21" s="46"/>
      <c r="K21" s="46"/>
      <c r="L21" s="46"/>
      <c r="M21" s="46"/>
    </row>
    <row r="22" spans="1:13">
      <c r="A22" s="13" t="s">
        <v>30</v>
      </c>
      <c r="B22" s="46"/>
      <c r="C22" s="46"/>
      <c r="D22" s="46"/>
      <c r="E22" s="46"/>
      <c r="F22" s="46"/>
      <c r="G22" s="46"/>
      <c r="H22" s="13" t="s">
        <v>31</v>
      </c>
      <c r="I22" s="46"/>
      <c r="J22" s="46"/>
      <c r="K22" s="46"/>
      <c r="L22" s="46"/>
      <c r="M22" s="46"/>
    </row>
    <row r="23" spans="1:13">
      <c r="A23" s="63" t="s">
        <v>32</v>
      </c>
      <c r="B23" s="63"/>
      <c r="C23" s="63"/>
      <c r="D23" s="63"/>
      <c r="E23" s="63"/>
      <c r="F23" s="63"/>
      <c r="G23" s="46"/>
      <c r="H23" s="63" t="s">
        <v>33</v>
      </c>
      <c r="I23" s="63"/>
      <c r="J23" s="63"/>
      <c r="K23" s="63"/>
      <c r="L23" s="63"/>
      <c r="M23" s="63"/>
    </row>
    <row r="24" spans="1:13">
      <c r="A24" s="63"/>
      <c r="B24" s="63"/>
      <c r="C24" s="63"/>
      <c r="D24" s="63"/>
      <c r="E24" s="63"/>
      <c r="F24" s="63"/>
      <c r="G24" s="46"/>
      <c r="H24" s="63"/>
      <c r="I24" s="63"/>
      <c r="J24" s="63"/>
      <c r="K24" s="63"/>
      <c r="L24" s="63"/>
      <c r="M24" s="63"/>
    </row>
    <row r="25" spans="1:13">
      <c r="A25" s="63"/>
      <c r="B25" s="63"/>
      <c r="C25" s="63"/>
      <c r="D25" s="63"/>
      <c r="E25" s="63"/>
      <c r="F25" s="63"/>
      <c r="G25" s="46"/>
      <c r="H25" s="63"/>
      <c r="I25" s="63"/>
      <c r="J25" s="63"/>
      <c r="K25" s="63"/>
      <c r="L25" s="63"/>
      <c r="M25" s="63"/>
    </row>
    <row r="26" spans="1:13">
      <c r="A26" s="63"/>
      <c r="B26" s="63"/>
      <c r="C26" s="63"/>
      <c r="D26" s="63"/>
      <c r="E26" s="63"/>
      <c r="F26" s="63"/>
      <c r="G26" s="46"/>
      <c r="H26" s="63"/>
      <c r="I26" s="63"/>
      <c r="J26" s="63"/>
      <c r="K26" s="63"/>
      <c r="L26" s="63"/>
      <c r="M26" s="63"/>
    </row>
    <row r="27" spans="1:13">
      <c r="A27" s="83" t="s">
        <v>25</v>
      </c>
      <c r="B27" s="83"/>
      <c r="C27" s="83"/>
      <c r="D27" s="92" t="s">
        <v>34</v>
      </c>
      <c r="E27" s="71"/>
      <c r="F27" s="46"/>
      <c r="G27" s="46"/>
      <c r="H27" s="88" t="s">
        <v>25</v>
      </c>
      <c r="I27" s="89"/>
      <c r="J27" s="90"/>
      <c r="K27" s="91" t="s">
        <v>35</v>
      </c>
      <c r="L27" s="91"/>
      <c r="M27" s="46"/>
    </row>
    <row r="28" spans="1:13">
      <c r="A28" s="81" t="s">
        <v>36</v>
      </c>
      <c r="B28" s="83"/>
      <c r="C28" s="83"/>
      <c r="D28" s="46"/>
      <c r="E28" s="46"/>
      <c r="F28" s="46"/>
      <c r="G28" s="46"/>
      <c r="H28" s="81" t="s">
        <v>37</v>
      </c>
      <c r="I28" s="83"/>
      <c r="J28" s="83"/>
      <c r="K28" s="46"/>
      <c r="L28" s="46"/>
      <c r="M28" s="46"/>
    </row>
    <row r="29" spans="1:13">
      <c r="A29" s="83"/>
      <c r="B29" s="83"/>
      <c r="C29" s="83"/>
      <c r="D29" s="46" t="str">
        <f>RIGHT(D27,3)</f>
        <v>pdf</v>
      </c>
      <c r="E29" s="46"/>
      <c r="F29" s="46"/>
      <c r="G29" s="46"/>
      <c r="H29" s="83"/>
      <c r="I29" s="83"/>
      <c r="J29" s="83"/>
      <c r="K29" s="46" t="str">
        <f>MID(K27,7,3)</f>
        <v>482</v>
      </c>
      <c r="L29" s="46"/>
      <c r="M29" s="46"/>
    </row>
    <row r="30" spans="1:13">
      <c r="A30" s="46"/>
      <c r="B30" s="46"/>
      <c r="C30" s="46"/>
      <c r="D30" s="46"/>
      <c r="E30" s="46"/>
      <c r="F30" s="46"/>
      <c r="G30" s="46"/>
      <c r="H30" s="46"/>
      <c r="I30" s="46"/>
      <c r="J30" s="46"/>
      <c r="K30" s="46"/>
      <c r="L30" s="46"/>
      <c r="M30" s="46"/>
    </row>
    <row r="31" spans="1:13">
      <c r="A31" s="13" t="s">
        <v>38</v>
      </c>
      <c r="B31" s="46"/>
      <c r="C31" s="46"/>
      <c r="D31" s="46"/>
      <c r="E31" s="46"/>
      <c r="F31" s="46"/>
      <c r="G31" s="46"/>
      <c r="H31" s="46"/>
      <c r="I31" s="46"/>
      <c r="J31" s="46"/>
      <c r="K31" s="46"/>
      <c r="L31" s="46"/>
      <c r="M31" s="46"/>
    </row>
    <row r="32" spans="1:13">
      <c r="A32" s="55" t="s">
        <v>39</v>
      </c>
      <c r="B32" s="55"/>
      <c r="C32" s="55"/>
      <c r="D32" s="55"/>
      <c r="E32" s="55"/>
      <c r="F32" s="55"/>
      <c r="G32" s="55"/>
      <c r="H32" s="55"/>
      <c r="I32" s="46"/>
      <c r="J32" s="46"/>
      <c r="K32" s="46"/>
      <c r="L32" s="46"/>
      <c r="M32" s="46"/>
    </row>
    <row r="33" spans="1:13">
      <c r="A33" s="55"/>
      <c r="B33" s="55"/>
      <c r="C33" s="55"/>
      <c r="D33" s="55"/>
      <c r="E33" s="55"/>
      <c r="F33" s="55"/>
      <c r="G33" s="55"/>
      <c r="H33" s="55"/>
      <c r="I33" s="46"/>
      <c r="J33" s="46"/>
      <c r="K33" s="46"/>
      <c r="L33" s="46"/>
      <c r="M33" s="46"/>
    </row>
    <row r="34" spans="1:13">
      <c r="A34" s="55"/>
      <c r="B34" s="55"/>
      <c r="C34" s="55"/>
      <c r="D34" s="55"/>
      <c r="E34" s="55"/>
      <c r="F34" s="55"/>
      <c r="G34" s="55"/>
      <c r="H34" s="55"/>
      <c r="I34" s="46"/>
      <c r="J34" s="46"/>
      <c r="K34" s="46"/>
      <c r="L34" s="46"/>
      <c r="M34" s="46"/>
    </row>
    <row r="35" spans="1:13">
      <c r="A35" s="55"/>
      <c r="B35" s="55"/>
      <c r="C35" s="55"/>
      <c r="D35" s="55"/>
      <c r="E35" s="55"/>
      <c r="F35" s="55"/>
      <c r="G35" s="55"/>
      <c r="H35" s="55"/>
      <c r="I35" s="46"/>
      <c r="J35" s="46"/>
      <c r="K35" s="46"/>
      <c r="L35" s="46"/>
      <c r="M35" s="46"/>
    </row>
    <row r="36" spans="1:13">
      <c r="A36" s="46"/>
      <c r="B36" s="46"/>
      <c r="C36" s="46"/>
      <c r="D36" s="82" t="s">
        <v>40</v>
      </c>
      <c r="E36" s="82"/>
      <c r="F36" s="82" t="s">
        <v>41</v>
      </c>
      <c r="G36" s="82"/>
      <c r="H36" s="46"/>
      <c r="I36" s="46"/>
      <c r="J36" s="46"/>
      <c r="K36" s="46"/>
      <c r="L36" s="46"/>
      <c r="M36" s="46"/>
    </row>
    <row r="37" spans="1:13">
      <c r="A37" s="83" t="s">
        <v>42</v>
      </c>
      <c r="B37" s="83"/>
      <c r="C37" s="83"/>
      <c r="D37" s="86" t="s">
        <v>43</v>
      </c>
      <c r="E37" s="87"/>
      <c r="F37" s="87" t="s">
        <v>44</v>
      </c>
      <c r="G37" s="87"/>
      <c r="H37" s="46"/>
      <c r="I37" s="46"/>
      <c r="J37" s="46"/>
      <c r="K37" s="46"/>
      <c r="L37" s="46"/>
      <c r="M37" s="46"/>
    </row>
    <row r="38" spans="1:13">
      <c r="A38" s="81" t="s">
        <v>45</v>
      </c>
      <c r="B38" s="81"/>
      <c r="C38" s="81"/>
      <c r="D38" s="46"/>
      <c r="E38" s="46"/>
      <c r="F38" s="46"/>
      <c r="G38" s="46"/>
      <c r="H38" s="46"/>
      <c r="I38" s="46"/>
      <c r="J38" s="46"/>
      <c r="K38" s="46"/>
      <c r="L38" s="46"/>
      <c r="M38" s="46"/>
    </row>
    <row r="39" spans="1:13">
      <c r="A39" s="81"/>
      <c r="B39" s="81"/>
      <c r="C39" s="81"/>
      <c r="D39" s="46"/>
      <c r="E39" s="46"/>
      <c r="F39" s="46"/>
      <c r="G39" s="46"/>
      <c r="H39" s="46"/>
      <c r="I39" s="46"/>
      <c r="J39" s="46"/>
      <c r="K39" s="46"/>
      <c r="L39" s="46"/>
      <c r="M39" s="46"/>
    </row>
    <row r="40" spans="1:13">
      <c r="A40" s="81"/>
      <c r="B40" s="81"/>
      <c r="C40" s="81"/>
      <c r="D40" s="84" t="str">
        <f>_xlfn.CONCAT(D37," ",F37)</f>
        <v>Mark Knopfler</v>
      </c>
      <c r="E40" s="85"/>
      <c r="F40" s="85"/>
    </row>
    <row r="41" spans="1:13">
      <c r="A41" s="81"/>
      <c r="B41" s="81"/>
      <c r="C41" s="81"/>
    </row>
  </sheetData>
  <mergeCells count="26">
    <mergeCell ref="A1:M3"/>
    <mergeCell ref="A4:M10"/>
    <mergeCell ref="H18:J20"/>
    <mergeCell ref="H13:O16"/>
    <mergeCell ref="A13:F16"/>
    <mergeCell ref="A17:C17"/>
    <mergeCell ref="H17:J17"/>
    <mergeCell ref="D17:E17"/>
    <mergeCell ref="A18:C19"/>
    <mergeCell ref="A23:F26"/>
    <mergeCell ref="H23:M26"/>
    <mergeCell ref="A27:C27"/>
    <mergeCell ref="H27:J27"/>
    <mergeCell ref="K27:L27"/>
    <mergeCell ref="D27:E27"/>
    <mergeCell ref="D19:E19"/>
    <mergeCell ref="A38:C41"/>
    <mergeCell ref="D36:E36"/>
    <mergeCell ref="F36:G36"/>
    <mergeCell ref="A28:C29"/>
    <mergeCell ref="H28:J29"/>
    <mergeCell ref="A37:C37"/>
    <mergeCell ref="D40:F40"/>
    <mergeCell ref="D37:E37"/>
    <mergeCell ref="F37:G37"/>
    <mergeCell ref="A32:H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D9614-1E71-47AC-9199-477FEB5D21EA}">
  <dimension ref="A1:I24"/>
  <sheetViews>
    <sheetView workbookViewId="0">
      <selection activeCell="A3" sqref="A3:I24"/>
    </sheetView>
  </sheetViews>
  <sheetFormatPr defaultRowHeight="15"/>
  <sheetData>
    <row r="1" spans="1:9">
      <c r="A1" s="46" t="s">
        <v>46</v>
      </c>
      <c r="B1" s="46"/>
      <c r="C1" s="46"/>
      <c r="D1" s="46"/>
      <c r="E1" s="46"/>
      <c r="F1" s="46"/>
      <c r="G1" s="20"/>
      <c r="H1" s="20"/>
    </row>
    <row r="2" spans="1:9">
      <c r="A2" s="46"/>
      <c r="B2" s="46"/>
      <c r="C2" s="46"/>
      <c r="D2" s="46"/>
      <c r="E2" s="46"/>
      <c r="F2" s="46"/>
      <c r="G2" s="20"/>
      <c r="H2" s="20"/>
    </row>
    <row r="3" spans="1:9" ht="15" customHeight="1">
      <c r="A3" s="55" t="s">
        <v>47</v>
      </c>
      <c r="B3" s="55"/>
      <c r="C3" s="55"/>
      <c r="D3" s="55"/>
      <c r="E3" s="55"/>
      <c r="F3" s="55"/>
      <c r="G3" s="55"/>
      <c r="H3" s="55"/>
      <c r="I3" s="55"/>
    </row>
    <row r="4" spans="1:9">
      <c r="A4" s="55"/>
      <c r="B4" s="55"/>
      <c r="C4" s="55"/>
      <c r="D4" s="55"/>
      <c r="E4" s="55"/>
      <c r="F4" s="55"/>
      <c r="G4" s="55"/>
      <c r="H4" s="55"/>
      <c r="I4" s="55"/>
    </row>
    <row r="5" spans="1:9">
      <c r="A5" s="55"/>
      <c r="B5" s="55"/>
      <c r="C5" s="55"/>
      <c r="D5" s="55"/>
      <c r="E5" s="55"/>
      <c r="F5" s="55"/>
      <c r="G5" s="55"/>
      <c r="H5" s="55"/>
      <c r="I5" s="55"/>
    </row>
    <row r="6" spans="1:9">
      <c r="A6" s="55"/>
      <c r="B6" s="55"/>
      <c r="C6" s="55"/>
      <c r="D6" s="55"/>
      <c r="E6" s="55"/>
      <c r="F6" s="55"/>
      <c r="G6" s="55"/>
      <c r="H6" s="55"/>
      <c r="I6" s="55"/>
    </row>
    <row r="7" spans="1:9">
      <c r="A7" s="55"/>
      <c r="B7" s="55"/>
      <c r="C7" s="55"/>
      <c r="D7" s="55"/>
      <c r="E7" s="55"/>
      <c r="F7" s="55"/>
      <c r="G7" s="55"/>
      <c r="H7" s="55"/>
      <c r="I7" s="55"/>
    </row>
    <row r="8" spans="1:9">
      <c r="A8" s="55"/>
      <c r="B8" s="55"/>
      <c r="C8" s="55"/>
      <c r="D8" s="55"/>
      <c r="E8" s="55"/>
      <c r="F8" s="55"/>
      <c r="G8" s="55"/>
      <c r="H8" s="55"/>
      <c r="I8" s="55"/>
    </row>
    <row r="9" spans="1:9">
      <c r="A9" s="55"/>
      <c r="B9" s="55"/>
      <c r="C9" s="55"/>
      <c r="D9" s="55"/>
      <c r="E9" s="55"/>
      <c r="F9" s="55"/>
      <c r="G9" s="55"/>
      <c r="H9" s="55"/>
      <c r="I9" s="55"/>
    </row>
    <row r="10" spans="1:9">
      <c r="A10" s="55"/>
      <c r="B10" s="55"/>
      <c r="C10" s="55"/>
      <c r="D10" s="55"/>
      <c r="E10" s="55"/>
      <c r="F10" s="55"/>
      <c r="G10" s="55"/>
      <c r="H10" s="55"/>
      <c r="I10" s="55"/>
    </row>
    <row r="11" spans="1:9">
      <c r="A11" s="55"/>
      <c r="B11" s="55"/>
      <c r="C11" s="55"/>
      <c r="D11" s="55"/>
      <c r="E11" s="55"/>
      <c r="F11" s="55"/>
      <c r="G11" s="55"/>
      <c r="H11" s="55"/>
      <c r="I11" s="55"/>
    </row>
    <row r="12" spans="1:9">
      <c r="A12" s="55"/>
      <c r="B12" s="55"/>
      <c r="C12" s="55"/>
      <c r="D12" s="55"/>
      <c r="E12" s="55"/>
      <c r="F12" s="55"/>
      <c r="G12" s="55"/>
      <c r="H12" s="55"/>
      <c r="I12" s="55"/>
    </row>
    <row r="13" spans="1:9">
      <c r="A13" s="55"/>
      <c r="B13" s="55"/>
      <c r="C13" s="55"/>
      <c r="D13" s="55"/>
      <c r="E13" s="55"/>
      <c r="F13" s="55"/>
      <c r="G13" s="55"/>
      <c r="H13" s="55"/>
      <c r="I13" s="55"/>
    </row>
    <row r="14" spans="1:9">
      <c r="A14" s="55"/>
      <c r="B14" s="55"/>
      <c r="C14" s="55"/>
      <c r="D14" s="55"/>
      <c r="E14" s="55"/>
      <c r="F14" s="55"/>
      <c r="G14" s="55"/>
      <c r="H14" s="55"/>
      <c r="I14" s="55"/>
    </row>
    <row r="15" spans="1:9">
      <c r="A15" s="55"/>
      <c r="B15" s="55"/>
      <c r="C15" s="55"/>
      <c r="D15" s="55"/>
      <c r="E15" s="55"/>
      <c r="F15" s="55"/>
      <c r="G15" s="55"/>
      <c r="H15" s="55"/>
      <c r="I15" s="55"/>
    </row>
    <row r="16" spans="1:9">
      <c r="A16" s="55"/>
      <c r="B16" s="55"/>
      <c r="C16" s="55"/>
      <c r="D16" s="55"/>
      <c r="E16" s="55"/>
      <c r="F16" s="55"/>
      <c r="G16" s="55"/>
      <c r="H16" s="55"/>
      <c r="I16" s="55"/>
    </row>
    <row r="17" spans="1:9">
      <c r="A17" s="55"/>
      <c r="B17" s="55"/>
      <c r="C17" s="55"/>
      <c r="D17" s="55"/>
      <c r="E17" s="55"/>
      <c r="F17" s="55"/>
      <c r="G17" s="55"/>
      <c r="H17" s="55"/>
      <c r="I17" s="55"/>
    </row>
    <row r="18" spans="1:9">
      <c r="A18" s="55"/>
      <c r="B18" s="55"/>
      <c r="C18" s="55"/>
      <c r="D18" s="55"/>
      <c r="E18" s="55"/>
      <c r="F18" s="55"/>
      <c r="G18" s="55"/>
      <c r="H18" s="55"/>
      <c r="I18" s="55"/>
    </row>
    <row r="19" spans="1:9">
      <c r="A19" s="55"/>
      <c r="B19" s="55"/>
      <c r="C19" s="55"/>
      <c r="D19" s="55"/>
      <c r="E19" s="55"/>
      <c r="F19" s="55"/>
      <c r="G19" s="55"/>
      <c r="H19" s="55"/>
      <c r="I19" s="55"/>
    </row>
    <row r="20" spans="1:9">
      <c r="A20" s="55"/>
      <c r="B20" s="55"/>
      <c r="C20" s="55"/>
      <c r="D20" s="55"/>
      <c r="E20" s="55"/>
      <c r="F20" s="55"/>
      <c r="G20" s="55"/>
      <c r="H20" s="55"/>
      <c r="I20" s="55"/>
    </row>
    <row r="21" spans="1:9">
      <c r="A21" s="55"/>
      <c r="B21" s="55"/>
      <c r="C21" s="55"/>
      <c r="D21" s="55"/>
      <c r="E21" s="55"/>
      <c r="F21" s="55"/>
      <c r="G21" s="55"/>
      <c r="H21" s="55"/>
      <c r="I21" s="55"/>
    </row>
    <row r="22" spans="1:9">
      <c r="A22" s="55"/>
      <c r="B22" s="55"/>
      <c r="C22" s="55"/>
      <c r="D22" s="55"/>
      <c r="E22" s="55"/>
      <c r="F22" s="55"/>
      <c r="G22" s="55"/>
      <c r="H22" s="55"/>
      <c r="I22" s="55"/>
    </row>
    <row r="23" spans="1:9">
      <c r="A23" s="55"/>
      <c r="B23" s="55"/>
      <c r="C23" s="55"/>
      <c r="D23" s="55"/>
      <c r="E23" s="55"/>
      <c r="F23" s="55"/>
      <c r="G23" s="55"/>
      <c r="H23" s="55"/>
      <c r="I23" s="55"/>
    </row>
    <row r="24" spans="1:9">
      <c r="A24" s="55"/>
      <c r="B24" s="55"/>
      <c r="C24" s="55"/>
      <c r="D24" s="55"/>
      <c r="E24" s="55"/>
      <c r="F24" s="55"/>
      <c r="G24" s="55"/>
      <c r="H24" s="55"/>
      <c r="I24" s="55"/>
    </row>
  </sheetData>
  <mergeCells count="1">
    <mergeCell ref="A3:I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6B180-00DA-42AC-86E0-7FCB2AD863CA}">
  <dimension ref="A1:Q24"/>
  <sheetViews>
    <sheetView topLeftCell="E12" workbookViewId="0">
      <selection activeCell="D6" sqref="D6"/>
    </sheetView>
  </sheetViews>
  <sheetFormatPr defaultRowHeight="15"/>
  <cols>
    <col min="1" max="1" width="17.42578125" bestFit="1" customWidth="1"/>
    <col min="2" max="2" width="15.7109375" bestFit="1" customWidth="1"/>
    <col min="3" max="3" width="11.28515625" bestFit="1" customWidth="1"/>
    <col min="4" max="4" width="10.7109375" bestFit="1" customWidth="1"/>
    <col min="5" max="5" width="14.5703125" bestFit="1" customWidth="1"/>
  </cols>
  <sheetData>
    <row r="1" spans="1:17">
      <c r="A1" s="71" t="s">
        <v>48</v>
      </c>
      <c r="B1" s="71"/>
      <c r="C1" s="71"/>
      <c r="D1" s="71"/>
      <c r="E1" s="71"/>
      <c r="F1" s="71"/>
      <c r="G1" s="71"/>
      <c r="H1" s="71"/>
      <c r="I1" s="71"/>
      <c r="J1" s="71"/>
      <c r="K1" s="71"/>
      <c r="L1" s="71"/>
      <c r="M1" s="71"/>
    </row>
    <row r="2" spans="1:17">
      <c r="A2" s="71"/>
      <c r="B2" s="71"/>
      <c r="C2" s="71"/>
      <c r="D2" s="71"/>
      <c r="E2" s="71"/>
      <c r="F2" s="71"/>
      <c r="G2" s="71"/>
      <c r="H2" s="71"/>
      <c r="I2" s="71"/>
      <c r="J2" s="71"/>
      <c r="K2" s="71"/>
      <c r="L2" s="71"/>
      <c r="M2" s="71"/>
    </row>
    <row r="3" spans="1:17">
      <c r="A3" s="46"/>
      <c r="B3" s="46"/>
      <c r="C3" s="46"/>
      <c r="D3" s="46"/>
      <c r="E3" s="46"/>
      <c r="F3" s="46"/>
      <c r="G3" s="46"/>
      <c r="H3" s="46"/>
      <c r="I3" s="46"/>
      <c r="J3" s="46"/>
      <c r="K3" s="46"/>
      <c r="L3" s="46"/>
    </row>
    <row r="4" spans="1:17" ht="15" customHeight="1">
      <c r="A4" s="23" t="s">
        <v>49</v>
      </c>
      <c r="B4" s="24" t="s">
        <v>50</v>
      </c>
      <c r="C4" s="24" t="s">
        <v>51</v>
      </c>
      <c r="D4" s="24" t="s">
        <v>52</v>
      </c>
      <c r="E4" s="25" t="s">
        <v>53</v>
      </c>
      <c r="F4" s="46"/>
      <c r="G4" s="69" t="s">
        <v>54</v>
      </c>
      <c r="H4" s="69"/>
      <c r="I4" s="69"/>
      <c r="J4" s="69"/>
      <c r="K4" s="69"/>
      <c r="L4" s="69"/>
      <c r="M4" s="69"/>
      <c r="N4" s="69"/>
      <c r="O4" s="69"/>
      <c r="P4" s="69"/>
      <c r="Q4" s="69"/>
    </row>
    <row r="5" spans="1:17">
      <c r="A5" s="21" t="s">
        <v>55</v>
      </c>
      <c r="B5" s="16" t="s">
        <v>56</v>
      </c>
      <c r="C5" s="16" t="s">
        <v>57</v>
      </c>
      <c r="D5" s="16">
        <v>1</v>
      </c>
      <c r="E5" s="22">
        <v>81</v>
      </c>
      <c r="F5" s="46"/>
      <c r="G5" s="69"/>
      <c r="H5" s="69"/>
      <c r="I5" s="69"/>
      <c r="J5" s="69"/>
      <c r="K5" s="69"/>
      <c r="L5" s="69"/>
      <c r="M5" s="69"/>
      <c r="N5" s="69"/>
      <c r="O5" s="69"/>
      <c r="P5" s="69"/>
      <c r="Q5" s="69"/>
    </row>
    <row r="6" spans="1:17">
      <c r="A6" s="21" t="s">
        <v>58</v>
      </c>
      <c r="B6" s="16" t="s">
        <v>59</v>
      </c>
      <c r="C6" s="16" t="s">
        <v>57</v>
      </c>
      <c r="D6" s="16"/>
      <c r="E6" s="22">
        <v>121</v>
      </c>
      <c r="F6" s="46"/>
      <c r="G6" s="69"/>
      <c r="H6" s="69"/>
      <c r="I6" s="69"/>
      <c r="J6" s="69"/>
      <c r="K6" s="69"/>
      <c r="L6" s="69"/>
      <c r="M6" s="69"/>
      <c r="N6" s="69"/>
      <c r="O6" s="69"/>
      <c r="P6" s="69"/>
      <c r="Q6" s="69"/>
    </row>
    <row r="7" spans="1:17">
      <c r="A7" s="21" t="s">
        <v>60</v>
      </c>
      <c r="B7" s="16" t="s">
        <v>61</v>
      </c>
      <c r="C7" s="16" t="s">
        <v>62</v>
      </c>
      <c r="D7" s="16"/>
      <c r="E7" s="22">
        <v>239</v>
      </c>
      <c r="F7" s="46"/>
      <c r="G7" s="69"/>
      <c r="H7" s="69"/>
      <c r="I7" s="69"/>
      <c r="J7" s="69"/>
      <c r="K7" s="69"/>
      <c r="L7" s="69"/>
      <c r="M7" s="69"/>
      <c r="N7" s="69"/>
      <c r="O7" s="69"/>
      <c r="P7" s="69"/>
      <c r="Q7" s="69"/>
    </row>
    <row r="8" spans="1:17">
      <c r="A8" s="21" t="s">
        <v>63</v>
      </c>
      <c r="B8" s="16" t="s">
        <v>56</v>
      </c>
      <c r="C8" s="16" t="s">
        <v>57</v>
      </c>
      <c r="D8" s="16"/>
      <c r="E8" s="22">
        <v>500</v>
      </c>
      <c r="F8" s="46"/>
      <c r="G8" s="69"/>
      <c r="H8" s="69"/>
      <c r="I8" s="69"/>
      <c r="J8" s="69"/>
      <c r="K8" s="69"/>
      <c r="L8" s="69"/>
      <c r="M8" s="69"/>
      <c r="N8" s="69"/>
      <c r="O8" s="69"/>
      <c r="P8" s="69"/>
      <c r="Q8" s="69"/>
    </row>
    <row r="9" spans="1:17">
      <c r="A9" s="21" t="s">
        <v>64</v>
      </c>
      <c r="B9" s="16" t="s">
        <v>65</v>
      </c>
      <c r="C9" s="16" t="s">
        <v>66</v>
      </c>
      <c r="D9" s="16"/>
      <c r="E9" s="22">
        <v>423</v>
      </c>
      <c r="F9" s="46"/>
      <c r="G9" s="69"/>
      <c r="H9" s="69"/>
      <c r="I9" s="69"/>
      <c r="J9" s="69"/>
      <c r="K9" s="69"/>
      <c r="L9" s="69"/>
      <c r="M9" s="69"/>
      <c r="N9" s="69"/>
      <c r="O9" s="69"/>
      <c r="P9" s="69"/>
      <c r="Q9" s="69"/>
    </row>
    <row r="10" spans="1:17">
      <c r="A10" s="21" t="s">
        <v>67</v>
      </c>
      <c r="B10" s="16" t="s">
        <v>68</v>
      </c>
      <c r="C10" s="16" t="s">
        <v>57</v>
      </c>
      <c r="D10" s="16"/>
      <c r="E10" s="22">
        <v>160</v>
      </c>
      <c r="F10" s="46"/>
      <c r="G10" s="69"/>
      <c r="H10" s="69"/>
      <c r="I10" s="69"/>
      <c r="J10" s="69"/>
      <c r="K10" s="69"/>
      <c r="L10" s="69"/>
      <c r="M10" s="69"/>
      <c r="N10" s="69"/>
      <c r="O10" s="69"/>
      <c r="P10" s="69"/>
      <c r="Q10" s="69"/>
    </row>
    <row r="11" spans="1:17">
      <c r="A11" s="21" t="s">
        <v>69</v>
      </c>
      <c r="B11" s="16" t="s">
        <v>70</v>
      </c>
      <c r="C11" s="16" t="s">
        <v>57</v>
      </c>
      <c r="D11" s="16"/>
      <c r="E11" s="22">
        <v>348</v>
      </c>
      <c r="F11" s="46"/>
      <c r="G11" s="69"/>
      <c r="H11" s="69"/>
      <c r="I11" s="69"/>
      <c r="J11" s="69"/>
      <c r="K11" s="69"/>
      <c r="L11" s="69"/>
      <c r="M11" s="69"/>
      <c r="N11" s="69"/>
      <c r="O11" s="69"/>
      <c r="P11" s="69"/>
      <c r="Q11" s="69"/>
    </row>
    <row r="12" spans="1:17">
      <c r="A12" s="21" t="s">
        <v>71</v>
      </c>
      <c r="B12" s="16" t="s">
        <v>70</v>
      </c>
      <c r="C12" s="16" t="s">
        <v>57</v>
      </c>
      <c r="D12" s="16"/>
      <c r="E12" s="22">
        <v>152</v>
      </c>
      <c r="F12" s="46"/>
      <c r="G12" s="69"/>
      <c r="H12" s="69"/>
      <c r="I12" s="69"/>
      <c r="J12" s="69"/>
      <c r="K12" s="69"/>
      <c r="L12" s="69"/>
      <c r="M12" s="69"/>
      <c r="N12" s="69"/>
      <c r="O12" s="69"/>
      <c r="P12" s="69"/>
      <c r="Q12" s="69"/>
    </row>
    <row r="13" spans="1:17">
      <c r="A13" s="26" t="s">
        <v>72</v>
      </c>
      <c r="B13" s="27" t="s">
        <v>73</v>
      </c>
      <c r="C13" s="27" t="s">
        <v>66</v>
      </c>
      <c r="D13" s="27"/>
      <c r="E13" s="28">
        <v>369</v>
      </c>
      <c r="F13" s="46"/>
      <c r="G13" s="69"/>
      <c r="H13" s="69"/>
      <c r="I13" s="69"/>
      <c r="J13" s="69"/>
      <c r="K13" s="69"/>
      <c r="L13" s="69"/>
      <c r="M13" s="69"/>
      <c r="N13" s="69"/>
      <c r="O13" s="69"/>
      <c r="P13" s="69"/>
      <c r="Q13" s="69"/>
    </row>
    <row r="14" spans="1:17">
      <c r="A14" s="46"/>
      <c r="B14" s="46"/>
      <c r="C14" s="46"/>
      <c r="D14" s="46"/>
      <c r="E14" s="46"/>
      <c r="F14" s="46"/>
      <c r="G14" s="69"/>
      <c r="H14" s="69"/>
      <c r="I14" s="69"/>
      <c r="J14" s="69"/>
      <c r="K14" s="69"/>
      <c r="L14" s="69"/>
      <c r="M14" s="69"/>
      <c r="N14" s="69"/>
      <c r="O14" s="69"/>
      <c r="P14" s="69"/>
      <c r="Q14" s="69"/>
    </row>
    <row r="15" spans="1:17">
      <c r="A15" s="63" t="s">
        <v>74</v>
      </c>
      <c r="B15" s="63"/>
      <c r="C15" s="63"/>
      <c r="D15" s="63"/>
      <c r="E15" s="63"/>
      <c r="F15" s="46"/>
      <c r="G15" s="69"/>
      <c r="H15" s="69"/>
      <c r="I15" s="69"/>
      <c r="J15" s="69"/>
      <c r="K15" s="69"/>
      <c r="L15" s="69"/>
      <c r="M15" s="69"/>
      <c r="N15" s="69"/>
      <c r="O15" s="69"/>
      <c r="P15" s="69"/>
      <c r="Q15" s="69"/>
    </row>
    <row r="16" spans="1:17">
      <c r="A16" s="63"/>
      <c r="B16" s="63"/>
      <c r="C16" s="63"/>
      <c r="D16" s="63"/>
      <c r="E16" s="63"/>
      <c r="F16" s="46"/>
      <c r="G16" s="69"/>
      <c r="H16" s="69"/>
      <c r="I16" s="69"/>
      <c r="J16" s="69"/>
      <c r="K16" s="69"/>
      <c r="L16" s="69"/>
      <c r="M16" s="69"/>
      <c r="N16" s="69"/>
      <c r="O16" s="69"/>
      <c r="P16" s="69"/>
      <c r="Q16" s="69"/>
    </row>
    <row r="17" spans="1:17">
      <c r="A17" s="63"/>
      <c r="B17" s="63"/>
      <c r="C17" s="63"/>
      <c r="D17" s="63"/>
      <c r="E17" s="63"/>
      <c r="F17" s="46"/>
      <c r="G17" s="69"/>
      <c r="H17" s="69"/>
      <c r="I17" s="69"/>
      <c r="J17" s="69"/>
      <c r="K17" s="69"/>
      <c r="L17" s="69"/>
      <c r="M17" s="69"/>
      <c r="N17" s="69"/>
      <c r="O17" s="69"/>
      <c r="P17" s="69"/>
      <c r="Q17" s="69"/>
    </row>
    <row r="18" spans="1:17">
      <c r="A18" s="63"/>
      <c r="B18" s="63"/>
      <c r="C18" s="63"/>
      <c r="D18" s="63"/>
      <c r="E18" s="63"/>
      <c r="F18" s="46"/>
      <c r="G18" s="69"/>
      <c r="H18" s="69"/>
      <c r="I18" s="69"/>
      <c r="J18" s="69"/>
      <c r="K18" s="69"/>
      <c r="L18" s="69"/>
      <c r="M18" s="69"/>
      <c r="N18" s="69"/>
      <c r="O18" s="69"/>
      <c r="P18" s="69"/>
      <c r="Q18" s="69"/>
    </row>
    <row r="19" spans="1:17">
      <c r="A19" s="63"/>
      <c r="B19" s="63"/>
      <c r="C19" s="63"/>
      <c r="D19" s="63"/>
      <c r="E19" s="63"/>
      <c r="F19" s="46"/>
      <c r="G19" s="69"/>
      <c r="H19" s="69"/>
      <c r="I19" s="69"/>
      <c r="J19" s="69"/>
      <c r="K19" s="69"/>
      <c r="L19" s="69"/>
      <c r="M19" s="69"/>
      <c r="N19" s="69"/>
      <c r="O19" s="69"/>
      <c r="P19" s="69"/>
      <c r="Q19" s="69"/>
    </row>
    <row r="20" spans="1:17">
      <c r="A20" s="63" t="s">
        <v>75</v>
      </c>
      <c r="B20" s="63"/>
      <c r="C20" s="63"/>
      <c r="D20" s="63"/>
      <c r="E20" s="63"/>
      <c r="F20" s="46"/>
      <c r="G20" s="69"/>
      <c r="H20" s="69"/>
      <c r="I20" s="69"/>
      <c r="J20" s="69"/>
      <c r="K20" s="69"/>
      <c r="L20" s="69"/>
      <c r="M20" s="69"/>
      <c r="N20" s="69"/>
      <c r="O20" s="69"/>
      <c r="P20" s="69"/>
      <c r="Q20" s="69"/>
    </row>
    <row r="21" spans="1:17">
      <c r="A21" s="63"/>
      <c r="B21" s="63"/>
      <c r="C21" s="63"/>
      <c r="D21" s="63"/>
      <c r="E21" s="63"/>
      <c r="F21" s="46"/>
      <c r="G21" s="69"/>
      <c r="H21" s="69"/>
      <c r="I21" s="69"/>
      <c r="J21" s="69"/>
      <c r="K21" s="69"/>
      <c r="L21" s="69"/>
      <c r="M21" s="69"/>
      <c r="N21" s="69"/>
      <c r="O21" s="69"/>
      <c r="P21" s="69"/>
      <c r="Q21" s="69"/>
    </row>
    <row r="22" spans="1:17">
      <c r="A22" s="63"/>
      <c r="B22" s="63"/>
      <c r="C22" s="63"/>
      <c r="D22" s="63"/>
      <c r="E22" s="63"/>
      <c r="F22" s="46"/>
      <c r="G22" s="69"/>
      <c r="H22" s="69"/>
      <c r="I22" s="69"/>
      <c r="J22" s="69"/>
      <c r="K22" s="69"/>
      <c r="L22" s="69"/>
      <c r="M22" s="69"/>
      <c r="N22" s="69"/>
      <c r="O22" s="69"/>
      <c r="P22" s="69"/>
      <c r="Q22" s="69"/>
    </row>
    <row r="23" spans="1:17">
      <c r="A23" s="63"/>
      <c r="B23" s="63"/>
      <c r="C23" s="63"/>
      <c r="D23" s="63"/>
      <c r="E23" s="63"/>
      <c r="F23" s="46"/>
      <c r="G23" s="69"/>
      <c r="H23" s="69"/>
      <c r="I23" s="69"/>
      <c r="J23" s="69"/>
      <c r="K23" s="69"/>
      <c r="L23" s="69"/>
      <c r="M23" s="69"/>
      <c r="N23" s="69"/>
      <c r="O23" s="69"/>
      <c r="P23" s="69"/>
      <c r="Q23" s="69"/>
    </row>
    <row r="24" spans="1:17">
      <c r="A24" s="63"/>
      <c r="B24" s="63"/>
      <c r="C24" s="63"/>
      <c r="D24" s="63"/>
      <c r="E24" s="63"/>
      <c r="F24" s="46"/>
      <c r="G24" s="46"/>
      <c r="H24" s="46"/>
      <c r="I24" s="46"/>
      <c r="J24" s="46"/>
      <c r="K24" s="46"/>
      <c r="L24" s="46"/>
    </row>
  </sheetData>
  <mergeCells count="4">
    <mergeCell ref="A15:E19"/>
    <mergeCell ref="A20:E24"/>
    <mergeCell ref="A1:M2"/>
    <mergeCell ref="G4:Q23"/>
  </mergeCells>
  <dataValidations count="1">
    <dataValidation type="whole" allowBlank="1" showInputMessage="1" showErrorMessage="1" error="Invalid input! The quantity must be a whole number between 1 and 10." prompt="Please enter a whole number between 1 and 10." sqref="D5:D13" xr:uid="{0DEDC2B1-FF5A-46B3-8DB7-8C88B422F328}">
      <formula1>1</formula1>
      <formula2>10</formula2>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6840-7952-482A-BBB9-65DA0E5494CB}">
  <dimension ref="A1:J37"/>
  <sheetViews>
    <sheetView topLeftCell="A18" workbookViewId="0">
      <selection activeCell="C33" sqref="C33:E33"/>
    </sheetView>
  </sheetViews>
  <sheetFormatPr defaultRowHeight="15"/>
  <sheetData>
    <row r="1" spans="1:10">
      <c r="A1" s="85" t="s">
        <v>76</v>
      </c>
      <c r="B1" s="85"/>
      <c r="C1" s="85"/>
      <c r="D1" s="85"/>
      <c r="E1" s="85"/>
      <c r="F1" s="85"/>
      <c r="G1" s="85"/>
      <c r="H1" s="85"/>
      <c r="I1" s="85"/>
      <c r="J1" s="85"/>
    </row>
    <row r="2" spans="1:10">
      <c r="A2" s="95" t="s">
        <v>77</v>
      </c>
      <c r="B2" s="95"/>
      <c r="C2" s="95"/>
      <c r="D2" s="95"/>
      <c r="E2" s="95"/>
      <c r="F2" s="95"/>
      <c r="G2" s="95"/>
      <c r="H2" s="95"/>
      <c r="I2" s="95"/>
      <c r="J2" s="95"/>
    </row>
    <row r="3" spans="1:10">
      <c r="A3" s="95"/>
      <c r="B3" s="95"/>
      <c r="C3" s="95"/>
      <c r="D3" s="95"/>
      <c r="E3" s="95"/>
      <c r="F3" s="95"/>
      <c r="G3" s="95"/>
      <c r="H3" s="95"/>
      <c r="I3" s="95"/>
      <c r="J3" s="95"/>
    </row>
    <row r="5" spans="1:10">
      <c r="A5" s="85" t="s">
        <v>78</v>
      </c>
      <c r="B5" s="85"/>
      <c r="C5" s="96" t="s">
        <v>79</v>
      </c>
      <c r="D5" s="85"/>
      <c r="E5" s="85"/>
    </row>
    <row r="6" spans="1:10" ht="15" customHeight="1">
      <c r="A6" s="97" t="s">
        <v>80</v>
      </c>
      <c r="B6" s="97"/>
      <c r="C6" s="85" t="str">
        <f>LEFT(C5,5)</f>
        <v>Excel</v>
      </c>
      <c r="D6" s="85"/>
      <c r="E6" s="85"/>
    </row>
    <row r="7" spans="1:10">
      <c r="A7" s="97"/>
      <c r="B7" s="97"/>
    </row>
    <row r="9" spans="1:10">
      <c r="A9" s="95" t="s">
        <v>81</v>
      </c>
      <c r="B9" s="95"/>
      <c r="C9" s="95"/>
      <c r="D9" s="95"/>
      <c r="E9" s="95"/>
      <c r="F9" s="95"/>
      <c r="G9" s="95"/>
      <c r="H9" s="95"/>
      <c r="I9" s="95"/>
      <c r="J9" s="95"/>
    </row>
    <row r="10" spans="1:10">
      <c r="A10" s="95"/>
      <c r="B10" s="95"/>
      <c r="C10" s="95"/>
      <c r="D10" s="95"/>
      <c r="E10" s="95"/>
      <c r="F10" s="95"/>
      <c r="G10" s="95"/>
      <c r="H10" s="95"/>
      <c r="I10" s="95"/>
      <c r="J10" s="95"/>
    </row>
    <row r="12" spans="1:10">
      <c r="A12" s="85" t="s">
        <v>78</v>
      </c>
      <c r="B12" s="85"/>
      <c r="C12" s="96" t="s">
        <v>82</v>
      </c>
      <c r="D12" s="85"/>
      <c r="E12" s="85"/>
    </row>
    <row r="13" spans="1:10">
      <c r="A13" s="97" t="s">
        <v>83</v>
      </c>
      <c r="B13" s="97"/>
      <c r="C13" s="85" t="str">
        <f>RIGHT(C12,4)</f>
        <v>xlsx</v>
      </c>
      <c r="D13" s="85"/>
      <c r="E13" s="85"/>
    </row>
    <row r="14" spans="1:10">
      <c r="A14" s="97"/>
      <c r="B14" s="97"/>
    </row>
    <row r="16" spans="1:10">
      <c r="A16" s="95" t="s">
        <v>84</v>
      </c>
      <c r="B16" s="95"/>
      <c r="C16" s="95"/>
      <c r="D16" s="95"/>
      <c r="E16" s="95"/>
      <c r="F16" s="95"/>
      <c r="G16" s="95"/>
      <c r="H16" s="95"/>
      <c r="I16" s="95"/>
      <c r="J16" s="95"/>
    </row>
    <row r="17" spans="1:10">
      <c r="A17" s="95"/>
      <c r="B17" s="95"/>
      <c r="C17" s="95"/>
      <c r="D17" s="95"/>
      <c r="E17" s="95"/>
      <c r="F17" s="95"/>
      <c r="G17" s="95"/>
      <c r="H17" s="95"/>
      <c r="I17" s="95"/>
      <c r="J17" s="95"/>
    </row>
    <row r="19" spans="1:10">
      <c r="A19" s="85" t="s">
        <v>78</v>
      </c>
      <c r="B19" s="85"/>
      <c r="C19" s="96" t="s">
        <v>79</v>
      </c>
      <c r="D19" s="85"/>
      <c r="E19" s="85"/>
    </row>
    <row r="20" spans="1:10">
      <c r="A20" s="97" t="s">
        <v>85</v>
      </c>
      <c r="B20" s="97"/>
      <c r="C20" s="85" t="str">
        <f>MID(C19,6,4)</f>
        <v>Tips</v>
      </c>
      <c r="D20" s="85"/>
      <c r="E20" s="85"/>
    </row>
    <row r="21" spans="1:10">
      <c r="A21" s="97"/>
      <c r="B21" s="97"/>
    </row>
    <row r="23" spans="1:10">
      <c r="A23" s="95" t="s">
        <v>86</v>
      </c>
      <c r="B23" s="95"/>
      <c r="C23" s="95"/>
      <c r="D23" s="95"/>
      <c r="E23" s="95"/>
      <c r="F23" s="95"/>
      <c r="G23" s="95"/>
      <c r="H23" s="95"/>
      <c r="I23" s="95"/>
      <c r="J23" s="95"/>
    </row>
    <row r="24" spans="1:10">
      <c r="A24" s="95"/>
      <c r="B24" s="95"/>
      <c r="C24" s="95"/>
      <c r="D24" s="95"/>
      <c r="E24" s="95"/>
      <c r="F24" s="95"/>
      <c r="G24" s="95"/>
      <c r="H24" s="95"/>
      <c r="I24" s="95"/>
      <c r="J24" s="95"/>
    </row>
    <row r="26" spans="1:10">
      <c r="A26" s="85" t="s">
        <v>78</v>
      </c>
      <c r="B26" s="85"/>
      <c r="C26" s="96" t="s">
        <v>87</v>
      </c>
      <c r="D26" s="85"/>
      <c r="E26" s="85"/>
    </row>
    <row r="27" spans="1:10">
      <c r="A27" s="97" t="s">
        <v>88</v>
      </c>
      <c r="B27" s="97"/>
      <c r="C27" s="85">
        <f>LEN(C26)</f>
        <v>12</v>
      </c>
      <c r="D27" s="85"/>
      <c r="E27" s="85"/>
    </row>
    <row r="28" spans="1:10">
      <c r="A28" s="97"/>
      <c r="B28" s="97"/>
    </row>
    <row r="30" spans="1:10">
      <c r="A30" s="95" t="s">
        <v>89</v>
      </c>
      <c r="B30" s="95"/>
      <c r="C30" s="95"/>
      <c r="D30" s="95"/>
      <c r="E30" s="95"/>
      <c r="F30" s="95"/>
      <c r="G30" s="95"/>
      <c r="H30" s="95"/>
      <c r="I30" s="95"/>
      <c r="J30" s="95"/>
    </row>
    <row r="31" spans="1:10">
      <c r="A31" s="95"/>
      <c r="B31" s="95"/>
      <c r="C31" s="95"/>
      <c r="D31" s="95"/>
      <c r="E31" s="95"/>
      <c r="F31" s="95"/>
      <c r="G31" s="95"/>
      <c r="H31" s="95"/>
      <c r="I31" s="95"/>
      <c r="J31" s="95"/>
    </row>
    <row r="33" spans="1:7">
      <c r="A33" s="85" t="s">
        <v>78</v>
      </c>
      <c r="B33" s="85"/>
      <c r="C33" s="96" t="s">
        <v>90</v>
      </c>
      <c r="D33" s="85"/>
      <c r="E33" s="85"/>
      <c r="G33">
        <f>LEN(C33)</f>
        <v>17</v>
      </c>
    </row>
    <row r="34" spans="1:7">
      <c r="A34" s="97" t="s">
        <v>91</v>
      </c>
      <c r="B34" s="97"/>
      <c r="C34" s="85" t="str">
        <f>MID(C33,7,6)</f>
        <v>67890-</v>
      </c>
      <c r="D34" s="85"/>
      <c r="E34" s="85"/>
    </row>
    <row r="35" spans="1:7">
      <c r="A35" s="97"/>
      <c r="B35" s="97"/>
    </row>
    <row r="36" spans="1:7">
      <c r="A36" s="97" t="s">
        <v>92</v>
      </c>
      <c r="B36" s="97"/>
    </row>
    <row r="37" spans="1:7">
      <c r="A37" s="97"/>
      <c r="B37" s="97"/>
    </row>
  </sheetData>
  <mergeCells count="27">
    <mergeCell ref="A36:B37"/>
    <mergeCell ref="A27:B28"/>
    <mergeCell ref="C27:E27"/>
    <mergeCell ref="A30:J31"/>
    <mergeCell ref="A33:B33"/>
    <mergeCell ref="C33:E33"/>
    <mergeCell ref="A34:B35"/>
    <mergeCell ref="C34:E34"/>
    <mergeCell ref="A26:B26"/>
    <mergeCell ref="C26:E26"/>
    <mergeCell ref="A9:J10"/>
    <mergeCell ref="A12:B12"/>
    <mergeCell ref="C12:E12"/>
    <mergeCell ref="A13:B14"/>
    <mergeCell ref="C13:E13"/>
    <mergeCell ref="A16:J17"/>
    <mergeCell ref="A19:B19"/>
    <mergeCell ref="C19:E19"/>
    <mergeCell ref="A20:B21"/>
    <mergeCell ref="C20:E20"/>
    <mergeCell ref="A23:J24"/>
    <mergeCell ref="A1:J1"/>
    <mergeCell ref="A2:J3"/>
    <mergeCell ref="A5:B5"/>
    <mergeCell ref="C5:E5"/>
    <mergeCell ref="C6:E6"/>
    <mergeCell ref="A6: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82C76-1B22-455E-AE88-77E10CA0DF3B}">
  <dimension ref="A1:K37"/>
  <sheetViews>
    <sheetView topLeftCell="A7" workbookViewId="0">
      <selection activeCell="D20" sqref="D20:H20"/>
    </sheetView>
  </sheetViews>
  <sheetFormatPr defaultRowHeight="15"/>
  <sheetData>
    <row r="1" spans="1:11">
      <c r="A1" s="85" t="s">
        <v>93</v>
      </c>
      <c r="B1" s="85"/>
      <c r="C1" s="85"/>
      <c r="D1" s="85"/>
      <c r="E1" s="85"/>
      <c r="F1" s="85"/>
      <c r="G1" s="85"/>
      <c r="H1" s="85"/>
      <c r="I1" s="85"/>
      <c r="J1" s="85"/>
      <c r="K1" s="85"/>
    </row>
    <row r="2" spans="1:11">
      <c r="A2" s="95" t="s">
        <v>94</v>
      </c>
      <c r="B2" s="95"/>
      <c r="C2" s="95"/>
      <c r="D2" s="95"/>
      <c r="E2" s="95"/>
      <c r="F2" s="95"/>
      <c r="G2" s="95"/>
      <c r="H2" s="95"/>
      <c r="I2" s="95"/>
      <c r="J2" s="95"/>
      <c r="K2" s="95"/>
    </row>
    <row r="3" spans="1:11">
      <c r="A3" s="95"/>
      <c r="B3" s="95"/>
      <c r="C3" s="95"/>
      <c r="D3" s="95"/>
      <c r="E3" s="95"/>
      <c r="F3" s="95"/>
      <c r="G3" s="95"/>
      <c r="H3" s="95"/>
      <c r="I3" s="95"/>
      <c r="J3" s="95"/>
      <c r="K3" s="95"/>
    </row>
    <row r="5" spans="1:11">
      <c r="A5" s="85" t="s">
        <v>42</v>
      </c>
      <c r="B5" s="85"/>
      <c r="C5" s="47"/>
      <c r="D5" s="49" t="s">
        <v>95</v>
      </c>
      <c r="E5" s="49" t="s">
        <v>96</v>
      </c>
      <c r="F5" s="49"/>
    </row>
    <row r="6" spans="1:11" ht="15" customHeight="1">
      <c r="A6" s="97" t="s">
        <v>97</v>
      </c>
      <c r="B6" s="97"/>
      <c r="C6" s="48"/>
      <c r="D6" s="85" t="str">
        <f>_xlfn.CONCAT(D5," ",E5)</f>
        <v>Hello World</v>
      </c>
      <c r="E6" s="85"/>
      <c r="F6" s="85"/>
    </row>
    <row r="7" spans="1:11">
      <c r="A7" s="97"/>
      <c r="B7" s="97"/>
      <c r="C7" s="48"/>
    </row>
    <row r="9" spans="1:11">
      <c r="A9" s="95" t="s">
        <v>98</v>
      </c>
      <c r="B9" s="95"/>
      <c r="C9" s="95"/>
      <c r="D9" s="95"/>
      <c r="E9" s="95"/>
      <c r="F9" s="95"/>
      <c r="G9" s="95"/>
      <c r="H9" s="95"/>
      <c r="I9" s="95"/>
      <c r="J9" s="95"/>
      <c r="K9" s="95"/>
    </row>
    <row r="10" spans="1:11">
      <c r="A10" s="95"/>
      <c r="B10" s="95"/>
      <c r="C10" s="95"/>
      <c r="D10" s="95"/>
      <c r="E10" s="95"/>
      <c r="F10" s="95"/>
      <c r="G10" s="95"/>
      <c r="H10" s="95"/>
      <c r="I10" s="95"/>
      <c r="J10" s="95"/>
      <c r="K10" s="95"/>
    </row>
    <row r="12" spans="1:11">
      <c r="A12" s="85" t="s">
        <v>42</v>
      </c>
      <c r="B12" s="85"/>
      <c r="C12" s="85"/>
      <c r="D12" s="49" t="s">
        <v>99</v>
      </c>
      <c r="E12" s="49" t="s">
        <v>100</v>
      </c>
      <c r="F12" s="49" t="s">
        <v>101</v>
      </c>
    </row>
    <row r="13" spans="1:11" ht="15" customHeight="1">
      <c r="A13" s="97" t="s">
        <v>102</v>
      </c>
      <c r="B13" s="97"/>
      <c r="C13" s="97"/>
      <c r="D13" s="85" t="str">
        <f>_xlfn.TEXTJOIN(",",TRUE,D12:F12)</f>
        <v>Apple,Banana,Cherry</v>
      </c>
      <c r="E13" s="85"/>
      <c r="F13" s="85"/>
    </row>
    <row r="14" spans="1:11">
      <c r="A14" s="97"/>
      <c r="B14" s="97"/>
      <c r="C14" s="97"/>
    </row>
    <row r="16" spans="1:11">
      <c r="A16" s="95" t="s">
        <v>103</v>
      </c>
      <c r="B16" s="95"/>
      <c r="C16" s="95"/>
      <c r="D16" s="95"/>
      <c r="E16" s="95"/>
      <c r="F16" s="95"/>
      <c r="G16" s="95"/>
      <c r="H16" s="95"/>
      <c r="I16" s="95"/>
      <c r="J16" s="95"/>
      <c r="K16" s="95"/>
    </row>
    <row r="17" spans="1:11">
      <c r="A17" s="95"/>
      <c r="B17" s="95"/>
      <c r="C17" s="95"/>
      <c r="D17" s="95"/>
      <c r="E17" s="95"/>
      <c r="F17" s="95"/>
      <c r="G17" s="95"/>
      <c r="H17" s="95"/>
      <c r="I17" s="95"/>
      <c r="J17" s="95"/>
      <c r="K17" s="95"/>
    </row>
    <row r="19" spans="1:11">
      <c r="A19" s="85" t="s">
        <v>42</v>
      </c>
      <c r="B19" s="85"/>
      <c r="C19" s="85"/>
      <c r="D19" s="49">
        <v>2025</v>
      </c>
      <c r="E19" s="49" t="s">
        <v>104</v>
      </c>
      <c r="F19" s="96" t="s">
        <v>105</v>
      </c>
      <c r="G19" s="96"/>
      <c r="H19" s="96"/>
    </row>
    <row r="20" spans="1:11" ht="15" customHeight="1">
      <c r="A20" s="97" t="s">
        <v>106</v>
      </c>
      <c r="B20" s="97"/>
      <c r="C20" s="97"/>
      <c r="D20" s="85" t="str">
        <f>D19&amp;E19&amp;F19</f>
        <v>2025: Excel Functions</v>
      </c>
      <c r="E20" s="85"/>
      <c r="F20" s="85"/>
      <c r="G20" s="85"/>
      <c r="H20" s="85"/>
    </row>
    <row r="21" spans="1:11">
      <c r="A21" s="97"/>
      <c r="B21" s="97"/>
      <c r="C21" s="97"/>
    </row>
    <row r="23" spans="1:11">
      <c r="A23" s="95"/>
      <c r="B23" s="95"/>
      <c r="C23" s="95"/>
      <c r="D23" s="95"/>
      <c r="E23" s="95"/>
      <c r="F23" s="95"/>
      <c r="G23" s="95"/>
      <c r="H23" s="95"/>
      <c r="I23" s="95"/>
      <c r="J23" s="95"/>
      <c r="K23" s="95"/>
    </row>
    <row r="24" spans="1:11">
      <c r="A24" s="95"/>
      <c r="B24" s="95"/>
      <c r="C24" s="95"/>
      <c r="D24" s="95"/>
      <c r="E24" s="95"/>
      <c r="F24" s="95"/>
      <c r="G24" s="95"/>
      <c r="H24" s="95"/>
      <c r="I24" s="95"/>
      <c r="J24" s="95"/>
      <c r="K24" s="95"/>
    </row>
    <row r="26" spans="1:11">
      <c r="A26" s="85"/>
      <c r="B26" s="85"/>
      <c r="C26" s="47"/>
      <c r="D26" s="96"/>
      <c r="E26" s="85"/>
      <c r="F26" s="85"/>
    </row>
    <row r="27" spans="1:11">
      <c r="A27" s="97"/>
      <c r="B27" s="97"/>
      <c r="C27" s="48"/>
      <c r="D27" s="85"/>
      <c r="E27" s="85"/>
      <c r="F27" s="85"/>
    </row>
    <row r="28" spans="1:11">
      <c r="A28" s="97"/>
      <c r="B28" s="97"/>
      <c r="C28" s="48"/>
    </row>
    <row r="30" spans="1:11">
      <c r="A30" s="95"/>
      <c r="B30" s="95"/>
      <c r="C30" s="95"/>
      <c r="D30" s="95"/>
      <c r="E30" s="95"/>
      <c r="F30" s="95"/>
      <c r="G30" s="95"/>
      <c r="H30" s="95"/>
      <c r="I30" s="95"/>
      <c r="J30" s="95"/>
      <c r="K30" s="95"/>
    </row>
    <row r="31" spans="1:11">
      <c r="A31" s="95"/>
      <c r="B31" s="95"/>
      <c r="C31" s="95"/>
      <c r="D31" s="95"/>
      <c r="E31" s="95"/>
      <c r="F31" s="95"/>
      <c r="G31" s="95"/>
      <c r="H31" s="95"/>
      <c r="I31" s="95"/>
      <c r="J31" s="95"/>
      <c r="K31" s="95"/>
    </row>
    <row r="33" spans="1:6">
      <c r="A33" s="85"/>
      <c r="B33" s="85"/>
      <c r="C33" s="47"/>
      <c r="D33" s="96"/>
      <c r="E33" s="85"/>
      <c r="F33" s="85"/>
    </row>
    <row r="34" spans="1:6">
      <c r="A34" s="97"/>
      <c r="B34" s="97"/>
      <c r="C34" s="48"/>
      <c r="D34" s="85"/>
      <c r="E34" s="85"/>
      <c r="F34" s="85"/>
    </row>
    <row r="35" spans="1:6">
      <c r="A35" s="97"/>
      <c r="B35" s="97"/>
      <c r="C35" s="48"/>
    </row>
    <row r="36" spans="1:6">
      <c r="A36" s="97"/>
      <c r="B36" s="97"/>
      <c r="C36" s="48"/>
    </row>
    <row r="37" spans="1:6">
      <c r="A37" s="97"/>
      <c r="B37" s="97"/>
      <c r="C37" s="48"/>
    </row>
  </sheetData>
  <mergeCells count="25">
    <mergeCell ref="A36:B37"/>
    <mergeCell ref="A13:C14"/>
    <mergeCell ref="A12:C12"/>
    <mergeCell ref="A19:C19"/>
    <mergeCell ref="A20:C21"/>
    <mergeCell ref="A33:B33"/>
    <mergeCell ref="F19:H19"/>
    <mergeCell ref="D20:H20"/>
    <mergeCell ref="A27:B28"/>
    <mergeCell ref="D27:F27"/>
    <mergeCell ref="A30:K31"/>
    <mergeCell ref="D33:F33"/>
    <mergeCell ref="A34:B35"/>
    <mergeCell ref="D34:F34"/>
    <mergeCell ref="A23:K24"/>
    <mergeCell ref="A26:B26"/>
    <mergeCell ref="D26:F26"/>
    <mergeCell ref="A9:K10"/>
    <mergeCell ref="D13:F13"/>
    <mergeCell ref="A16:K17"/>
    <mergeCell ref="A1:K1"/>
    <mergeCell ref="A2:K3"/>
    <mergeCell ref="A5:B5"/>
    <mergeCell ref="A6:B7"/>
    <mergeCell ref="D6:F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3519-1711-4C8C-A052-6185C0C99BE5}">
  <dimension ref="A1:P14"/>
  <sheetViews>
    <sheetView topLeftCell="F1" workbookViewId="0">
      <selection activeCell="C11" sqref="C11:D11"/>
    </sheetView>
  </sheetViews>
  <sheetFormatPr defaultRowHeight="15"/>
  <sheetData>
    <row r="1" spans="1:16">
      <c r="A1" s="39" t="s">
        <v>107</v>
      </c>
      <c r="E1" s="95" t="s">
        <v>108</v>
      </c>
      <c r="F1" s="95"/>
      <c r="G1" s="95"/>
      <c r="H1" s="95"/>
      <c r="I1" s="95"/>
      <c r="J1" s="95"/>
      <c r="K1" s="95"/>
      <c r="L1" s="95"/>
      <c r="M1" s="95"/>
      <c r="N1" s="95"/>
      <c r="O1" s="95"/>
    </row>
    <row r="2" spans="1:16">
      <c r="A2" s="39" t="s">
        <v>109</v>
      </c>
      <c r="E2" s="95"/>
      <c r="F2" s="95"/>
      <c r="G2" s="95"/>
      <c r="H2" s="95"/>
      <c r="I2" s="95"/>
      <c r="J2" s="95"/>
      <c r="K2" s="95"/>
      <c r="L2" s="95"/>
      <c r="M2" s="95"/>
      <c r="N2" s="95"/>
      <c r="O2" s="95"/>
    </row>
    <row r="3" spans="1:16">
      <c r="A3" s="39" t="s">
        <v>110</v>
      </c>
    </row>
    <row r="4" spans="1:16">
      <c r="A4" s="39" t="s">
        <v>111</v>
      </c>
      <c r="E4" s="97" t="s">
        <v>112</v>
      </c>
      <c r="F4" s="97"/>
      <c r="G4" s="97"/>
      <c r="H4" s="85" t="str">
        <f>_xlfn.TEXTJOIN(",",TRUE,A1:A5)</f>
        <v>NY,NV,TX,AZ,OH</v>
      </c>
      <c r="I4" s="85"/>
      <c r="J4" s="85"/>
    </row>
    <row r="5" spans="1:16">
      <c r="A5" s="40" t="s">
        <v>113</v>
      </c>
      <c r="E5" s="97"/>
      <c r="F5" s="97"/>
      <c r="G5" s="97"/>
    </row>
    <row r="6" spans="1:16">
      <c r="A6" s="99" t="s">
        <v>114</v>
      </c>
    </row>
    <row r="7" spans="1:16">
      <c r="A7" s="100"/>
    </row>
    <row r="8" spans="1:16">
      <c r="A8" s="101"/>
    </row>
    <row r="10" spans="1:16">
      <c r="A10" s="41" t="s">
        <v>115</v>
      </c>
      <c r="B10" s="41"/>
      <c r="C10" s="102" t="s">
        <v>116</v>
      </c>
      <c r="D10" s="102"/>
      <c r="F10" s="95" t="s">
        <v>117</v>
      </c>
      <c r="G10" s="95"/>
      <c r="H10" s="95"/>
      <c r="I10" s="95"/>
      <c r="J10" s="95"/>
      <c r="K10" s="95"/>
      <c r="L10" s="95"/>
      <c r="M10" s="95"/>
      <c r="N10" s="95"/>
      <c r="O10" s="95"/>
      <c r="P10" s="95"/>
    </row>
    <row r="11" spans="1:16">
      <c r="A11" s="39" t="s">
        <v>118</v>
      </c>
      <c r="B11" s="39" t="s">
        <v>119</v>
      </c>
      <c r="C11" s="98" t="str">
        <f>$A11&amp;" "&amp;$B11</f>
        <v>David Gilmour</v>
      </c>
      <c r="D11" s="98"/>
      <c r="F11" s="95"/>
      <c r="G11" s="95"/>
      <c r="H11" s="95"/>
      <c r="I11" s="95"/>
      <c r="J11" s="95"/>
      <c r="K11" s="95"/>
      <c r="L11" s="95"/>
      <c r="M11" s="95"/>
      <c r="N11" s="95"/>
      <c r="O11" s="95"/>
      <c r="P11" s="95"/>
    </row>
    <row r="12" spans="1:16">
      <c r="A12" s="39" t="s">
        <v>120</v>
      </c>
      <c r="B12" s="39" t="s">
        <v>121</v>
      </c>
      <c r="C12" s="98" t="str">
        <f t="shared" ref="C12:C14" si="0">$A12&amp;" "&amp;$B12</f>
        <v>Jimmy Page</v>
      </c>
      <c r="D12" s="98"/>
    </row>
    <row r="13" spans="1:16">
      <c r="A13" s="39" t="s">
        <v>43</v>
      </c>
      <c r="B13" s="39" t="s">
        <v>44</v>
      </c>
      <c r="C13" s="98" t="str">
        <f t="shared" si="0"/>
        <v>Mark Knopfler</v>
      </c>
      <c r="D13" s="98"/>
      <c r="F13" s="95" t="s">
        <v>122</v>
      </c>
      <c r="G13" s="95"/>
      <c r="H13" s="95"/>
      <c r="I13" s="95"/>
      <c r="J13" s="95"/>
      <c r="K13" s="95"/>
      <c r="L13" s="95"/>
      <c r="M13" s="95"/>
      <c r="N13" s="95"/>
    </row>
    <row r="14" spans="1:16">
      <c r="A14" s="39" t="s">
        <v>123</v>
      </c>
      <c r="B14" s="39" t="s">
        <v>124</v>
      </c>
      <c r="C14" s="98" t="str">
        <f t="shared" si="0"/>
        <v>Eric Clapton</v>
      </c>
      <c r="D14" s="98"/>
      <c r="F14" s="95"/>
      <c r="G14" s="95"/>
      <c r="H14" s="95"/>
      <c r="I14" s="95"/>
      <c r="J14" s="95"/>
      <c r="K14" s="95"/>
      <c r="L14" s="95"/>
      <c r="M14" s="95"/>
      <c r="N14" s="95"/>
    </row>
  </sheetData>
  <mergeCells count="11">
    <mergeCell ref="F13:N14"/>
    <mergeCell ref="F10:P11"/>
    <mergeCell ref="E1:O2"/>
    <mergeCell ref="E4:G5"/>
    <mergeCell ref="H4:J4"/>
    <mergeCell ref="C14:D14"/>
    <mergeCell ref="A6:A8"/>
    <mergeCell ref="C10:D10"/>
    <mergeCell ref="C11:D11"/>
    <mergeCell ref="C12:D12"/>
    <mergeCell ref="C13:D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2D951-C5D0-4E16-AA13-1AC6CFD83CD0}">
  <dimension ref="A1:Z35"/>
  <sheetViews>
    <sheetView tabSelected="1" topLeftCell="B1" workbookViewId="0">
      <selection activeCell="C15" sqref="C15"/>
    </sheetView>
  </sheetViews>
  <sheetFormatPr defaultRowHeight="15"/>
  <cols>
    <col min="8" max="8" width="12.28515625" bestFit="1" customWidth="1"/>
  </cols>
  <sheetData>
    <row r="1" spans="1:26">
      <c r="A1" s="29">
        <v>45818</v>
      </c>
      <c r="B1" s="1"/>
      <c r="C1" s="31"/>
      <c r="D1" s="111" t="s">
        <v>125</v>
      </c>
      <c r="E1" s="112"/>
      <c r="F1" s="112"/>
      <c r="G1" s="112"/>
      <c r="H1" s="112"/>
      <c r="I1" s="113"/>
      <c r="J1" s="19"/>
      <c r="K1" s="46"/>
      <c r="L1" s="46"/>
      <c r="M1" s="71" t="s">
        <v>126</v>
      </c>
      <c r="N1" s="71"/>
      <c r="O1" s="71"/>
      <c r="P1" s="71"/>
      <c r="Q1" s="71"/>
      <c r="R1" s="71"/>
      <c r="S1" s="71"/>
      <c r="T1" s="71"/>
    </row>
    <row r="2" spans="1:26">
      <c r="A2" s="43">
        <f ca="1">TODAY()-A1</f>
        <v>189</v>
      </c>
      <c r="B2" s="14"/>
      <c r="D2" s="45"/>
      <c r="E2" s="45"/>
      <c r="F2" s="45"/>
      <c r="G2" s="45"/>
      <c r="H2" s="46"/>
      <c r="I2" s="46"/>
      <c r="J2" s="35"/>
      <c r="K2" s="46"/>
      <c r="L2" s="46"/>
      <c r="M2" s="71"/>
      <c r="N2" s="71"/>
      <c r="O2" s="71"/>
      <c r="P2" s="71"/>
      <c r="Q2" s="71"/>
      <c r="R2" s="71"/>
      <c r="S2" s="71"/>
      <c r="T2" s="71"/>
    </row>
    <row r="3" spans="1:26">
      <c r="A3" s="11"/>
      <c r="B3" s="14"/>
      <c r="C3" s="86" t="s">
        <v>127</v>
      </c>
      <c r="D3" s="87"/>
      <c r="E3" s="87"/>
      <c r="F3" s="87"/>
      <c r="G3" s="87"/>
      <c r="H3" s="28"/>
      <c r="I3" s="50"/>
      <c r="J3" s="36"/>
      <c r="K3" s="46"/>
      <c r="L3" s="46"/>
      <c r="M3" s="45"/>
      <c r="N3" s="45"/>
      <c r="O3" s="45"/>
      <c r="P3" s="45"/>
      <c r="Q3" s="45"/>
      <c r="R3" s="45"/>
      <c r="S3" s="45"/>
      <c r="T3" s="45"/>
    </row>
    <row r="4" spans="1:26" ht="15" customHeight="1">
      <c r="A4" s="30" t="s">
        <v>128</v>
      </c>
      <c r="B4" s="14"/>
      <c r="C4" s="103"/>
      <c r="D4" s="104"/>
      <c r="E4" s="104"/>
      <c r="F4" s="104"/>
      <c r="G4" s="104"/>
      <c r="H4" s="108">
        <f ca="1">TODAY()</f>
        <v>46007</v>
      </c>
      <c r="I4" s="109"/>
      <c r="J4" s="110"/>
      <c r="K4" s="46"/>
      <c r="L4" s="46"/>
      <c r="M4" s="69" t="s">
        <v>129</v>
      </c>
      <c r="N4" s="69"/>
      <c r="O4" s="69"/>
      <c r="P4" s="69"/>
      <c r="Q4" s="69"/>
      <c r="R4" s="69"/>
      <c r="S4" s="69"/>
      <c r="T4" s="69"/>
      <c r="U4" s="69"/>
      <c r="V4" s="69"/>
      <c r="W4" s="69"/>
      <c r="X4" s="69"/>
      <c r="Y4" s="69"/>
      <c r="Z4" s="69"/>
    </row>
    <row r="5" spans="1:26">
      <c r="A5" s="4"/>
      <c r="B5" s="14"/>
      <c r="C5" s="92" t="s">
        <v>130</v>
      </c>
      <c r="D5" s="71"/>
      <c r="E5" s="71"/>
      <c r="F5" s="71"/>
      <c r="G5" s="123"/>
      <c r="H5" s="46"/>
      <c r="I5" s="46"/>
      <c r="J5" s="38"/>
      <c r="K5" s="46"/>
      <c r="L5" s="46"/>
      <c r="M5" s="69"/>
      <c r="N5" s="69"/>
      <c r="O5" s="69"/>
      <c r="P5" s="69"/>
      <c r="Q5" s="69"/>
      <c r="R5" s="69"/>
      <c r="S5" s="69"/>
      <c r="T5" s="69"/>
      <c r="U5" s="69"/>
      <c r="V5" s="69"/>
      <c r="W5" s="69"/>
      <c r="X5" s="69"/>
      <c r="Y5" s="69"/>
      <c r="Z5" s="69"/>
    </row>
    <row r="6" spans="1:26">
      <c r="A6" s="4"/>
      <c r="B6" s="14"/>
      <c r="C6" s="103"/>
      <c r="D6" s="104"/>
      <c r="E6" s="104"/>
      <c r="F6" s="104"/>
      <c r="G6" s="107"/>
      <c r="H6" s="109">
        <v>45792</v>
      </c>
      <c r="I6" s="109"/>
      <c r="J6" s="110"/>
      <c r="K6" s="46"/>
      <c r="L6" s="46"/>
      <c r="M6" s="69"/>
      <c r="N6" s="69"/>
      <c r="O6" s="69"/>
      <c r="P6" s="69"/>
      <c r="Q6" s="69"/>
      <c r="R6" s="69"/>
      <c r="S6" s="69"/>
      <c r="T6" s="69"/>
      <c r="U6" s="69"/>
      <c r="V6" s="69"/>
      <c r="W6" s="69"/>
      <c r="X6" s="69"/>
      <c r="Y6" s="69"/>
      <c r="Z6" s="69"/>
    </row>
    <row r="7" spans="1:26">
      <c r="A7" s="4"/>
      <c r="B7" s="14"/>
      <c r="C7" s="92" t="s">
        <v>131</v>
      </c>
      <c r="D7" s="71"/>
      <c r="E7" s="71"/>
      <c r="F7" s="71"/>
      <c r="G7" s="71"/>
      <c r="H7" s="37"/>
      <c r="I7" s="46"/>
      <c r="J7" s="38"/>
      <c r="K7" s="46"/>
      <c r="L7" s="46"/>
      <c r="M7" s="69"/>
      <c r="N7" s="69"/>
      <c r="O7" s="69"/>
      <c r="P7" s="69"/>
      <c r="Q7" s="69"/>
      <c r="R7" s="69"/>
      <c r="S7" s="69"/>
      <c r="T7" s="69"/>
      <c r="U7" s="69"/>
      <c r="V7" s="69"/>
      <c r="W7" s="69"/>
      <c r="X7" s="69"/>
      <c r="Y7" s="69"/>
      <c r="Z7" s="69"/>
    </row>
    <row r="8" spans="1:26">
      <c r="A8" s="4"/>
      <c r="B8" s="14"/>
      <c r="C8" s="92"/>
      <c r="D8" s="71"/>
      <c r="E8" s="71"/>
      <c r="F8" s="71"/>
      <c r="G8" s="71"/>
      <c r="H8" s="114">
        <f ca="1">TODAY()-H6</f>
        <v>215</v>
      </c>
      <c r="I8" s="115"/>
      <c r="J8" s="116"/>
      <c r="K8" s="46"/>
      <c r="L8" s="46"/>
      <c r="M8" s="69"/>
      <c r="N8" s="69"/>
      <c r="O8" s="69"/>
      <c r="P8" s="69"/>
      <c r="Q8" s="69"/>
      <c r="R8" s="69"/>
      <c r="S8" s="69"/>
      <c r="T8" s="69"/>
      <c r="U8" s="69"/>
      <c r="V8" s="69"/>
      <c r="W8" s="69"/>
      <c r="X8" s="69"/>
      <c r="Y8" s="69"/>
      <c r="Z8" s="69"/>
    </row>
    <row r="9" spans="1:26">
      <c r="A9" s="4"/>
      <c r="B9" s="14"/>
      <c r="C9" s="86" t="s">
        <v>132</v>
      </c>
      <c r="D9" s="87"/>
      <c r="E9" s="87"/>
      <c r="F9" s="87"/>
      <c r="G9" s="87"/>
      <c r="H9" s="37"/>
      <c r="I9" s="46"/>
      <c r="J9" s="38"/>
      <c r="K9" s="46"/>
      <c r="L9" s="46"/>
      <c r="M9" s="69"/>
      <c r="N9" s="69"/>
      <c r="O9" s="69"/>
      <c r="P9" s="69"/>
      <c r="Q9" s="69"/>
      <c r="R9" s="69"/>
      <c r="S9" s="69"/>
      <c r="T9" s="69"/>
      <c r="U9" s="69"/>
      <c r="V9" s="69"/>
      <c r="W9" s="69"/>
      <c r="X9" s="69"/>
      <c r="Y9" s="69"/>
      <c r="Z9" s="69"/>
    </row>
    <row r="10" spans="1:26">
      <c r="A10" s="4"/>
      <c r="B10" s="14"/>
      <c r="C10" s="92"/>
      <c r="D10" s="71"/>
      <c r="E10" s="71"/>
      <c r="F10" s="71"/>
      <c r="G10" s="71"/>
      <c r="H10" s="117">
        <f ca="1" xml:space="preserve"> NOW()</f>
        <v>46007.393167939816</v>
      </c>
      <c r="I10" s="118"/>
      <c r="J10" s="119"/>
      <c r="K10" s="46"/>
      <c r="L10" s="46"/>
      <c r="M10" s="69"/>
      <c r="N10" s="69"/>
      <c r="O10" s="69"/>
      <c r="P10" s="69"/>
      <c r="Q10" s="69"/>
      <c r="R10" s="69"/>
      <c r="S10" s="69"/>
      <c r="T10" s="69"/>
      <c r="U10" s="69"/>
      <c r="V10" s="69"/>
      <c r="W10" s="69"/>
      <c r="X10" s="69"/>
      <c r="Y10" s="69"/>
      <c r="Z10" s="69"/>
    </row>
    <row r="11" spans="1:26">
      <c r="A11" s="4"/>
      <c r="B11" s="14"/>
      <c r="C11" s="86" t="s">
        <v>133</v>
      </c>
      <c r="D11" s="87"/>
      <c r="E11" s="87"/>
      <c r="F11" s="87"/>
      <c r="G11" s="87"/>
      <c r="H11" s="51"/>
      <c r="I11" s="52"/>
      <c r="J11" s="53"/>
      <c r="K11" s="52"/>
      <c r="L11" s="46"/>
      <c r="M11" s="69"/>
      <c r="N11" s="69"/>
      <c r="O11" s="69"/>
      <c r="P11" s="69"/>
      <c r="Q11" s="69"/>
      <c r="R11" s="69"/>
      <c r="S11" s="69"/>
      <c r="T11" s="69"/>
      <c r="U11" s="69"/>
      <c r="V11" s="69"/>
      <c r="W11" s="69"/>
      <c r="X11" s="69"/>
      <c r="Y11" s="69"/>
      <c r="Z11" s="69"/>
    </row>
    <row r="12" spans="1:26">
      <c r="A12" s="4"/>
      <c r="B12" s="14"/>
      <c r="C12" s="92"/>
      <c r="D12" s="71"/>
      <c r="E12" s="71"/>
      <c r="F12" s="71"/>
      <c r="G12" s="71"/>
      <c r="H12" s="120" t="str">
        <f ca="1">TEXT(H10,"MM/DD/YYYY HH:MM AM/PM")</f>
        <v>12/16/2025 09:26 AM</v>
      </c>
      <c r="I12" s="121"/>
      <c r="J12" s="122"/>
      <c r="K12" s="52"/>
      <c r="L12" s="46"/>
      <c r="M12" s="69"/>
      <c r="N12" s="69"/>
      <c r="O12" s="69"/>
      <c r="P12" s="69"/>
      <c r="Q12" s="69"/>
      <c r="R12" s="69"/>
      <c r="S12" s="69"/>
      <c r="T12" s="69"/>
      <c r="U12" s="69"/>
      <c r="V12" s="69"/>
      <c r="W12" s="69"/>
      <c r="X12" s="69"/>
      <c r="Y12" s="69"/>
      <c r="Z12" s="69"/>
    </row>
    <row r="13" spans="1:26">
      <c r="A13" s="4"/>
      <c r="B13" s="14"/>
      <c r="C13" s="86" t="s">
        <v>134</v>
      </c>
      <c r="D13" s="87"/>
      <c r="E13" s="87"/>
      <c r="F13" s="87"/>
      <c r="G13" s="87"/>
      <c r="H13" s="105">
        <v>46007</v>
      </c>
      <c r="I13" s="87"/>
      <c r="J13" s="106"/>
      <c r="K13" s="46"/>
      <c r="L13" s="46"/>
      <c r="M13" s="69"/>
      <c r="N13" s="69"/>
      <c r="O13" s="69"/>
      <c r="P13" s="69"/>
      <c r="Q13" s="69"/>
      <c r="R13" s="69"/>
      <c r="S13" s="69"/>
      <c r="T13" s="69"/>
      <c r="U13" s="69"/>
      <c r="V13" s="69"/>
      <c r="W13" s="69"/>
      <c r="X13" s="69"/>
      <c r="Y13" s="69"/>
      <c r="Z13" s="69"/>
    </row>
    <row r="14" spans="1:26">
      <c r="A14" s="4"/>
      <c r="B14" s="14"/>
      <c r="C14" s="103"/>
      <c r="D14" s="104"/>
      <c r="E14" s="104"/>
      <c r="F14" s="104"/>
      <c r="G14" s="104"/>
      <c r="H14" s="103"/>
      <c r="I14" s="104"/>
      <c r="J14" s="107"/>
      <c r="K14" s="46"/>
      <c r="L14" s="46"/>
      <c r="M14" s="69"/>
      <c r="N14" s="69"/>
      <c r="O14" s="69"/>
      <c r="P14" s="69"/>
      <c r="Q14" s="69"/>
      <c r="R14" s="69"/>
      <c r="S14" s="69"/>
      <c r="T14" s="69"/>
      <c r="U14" s="69"/>
      <c r="V14" s="69"/>
      <c r="W14" s="69"/>
      <c r="X14" s="69"/>
      <c r="Y14" s="69"/>
      <c r="Z14" s="69"/>
    </row>
    <row r="15" spans="1:26">
      <c r="A15" s="4"/>
      <c r="B15" s="2"/>
      <c r="C15" s="34"/>
      <c r="D15" s="34"/>
      <c r="E15" s="34"/>
      <c r="F15" s="34"/>
      <c r="G15" s="34"/>
      <c r="H15" s="34"/>
      <c r="I15" s="34"/>
      <c r="J15" s="18"/>
      <c r="K15" s="46"/>
      <c r="L15" s="46"/>
      <c r="M15" s="69"/>
      <c r="N15" s="69"/>
      <c r="O15" s="69"/>
      <c r="P15" s="69"/>
      <c r="Q15" s="69"/>
      <c r="R15" s="69"/>
      <c r="S15" s="69"/>
      <c r="T15" s="69"/>
      <c r="U15" s="69"/>
      <c r="V15" s="69"/>
      <c r="W15" s="69"/>
      <c r="X15" s="69"/>
      <c r="Y15" s="69"/>
      <c r="Z15" s="69"/>
    </row>
    <row r="16" spans="1:26">
      <c r="A16" s="4"/>
      <c r="B16" s="2"/>
      <c r="C16" s="2"/>
      <c r="D16" s="2"/>
      <c r="E16" s="2"/>
      <c r="F16" s="2"/>
      <c r="G16" s="2"/>
      <c r="H16" s="2"/>
      <c r="I16" s="2"/>
      <c r="J16" s="14"/>
      <c r="K16" s="46"/>
      <c r="L16" s="46"/>
      <c r="M16" s="69"/>
      <c r="N16" s="69"/>
      <c r="O16" s="69"/>
      <c r="P16" s="69"/>
      <c r="Q16" s="69"/>
      <c r="R16" s="69"/>
      <c r="S16" s="69"/>
      <c r="T16" s="69"/>
      <c r="U16" s="69"/>
      <c r="V16" s="69"/>
      <c r="W16" s="69"/>
      <c r="X16" s="69"/>
      <c r="Y16" s="69"/>
      <c r="Z16" s="69"/>
    </row>
    <row r="17" spans="1:26">
      <c r="A17" s="4"/>
      <c r="B17" s="2"/>
      <c r="C17" s="2"/>
      <c r="D17" s="2"/>
      <c r="E17" s="2"/>
      <c r="F17" s="2"/>
      <c r="G17" s="2"/>
      <c r="H17" s="2"/>
      <c r="I17" s="2"/>
      <c r="J17" s="14"/>
      <c r="K17" s="46"/>
      <c r="L17" s="46"/>
      <c r="M17" s="69"/>
      <c r="N17" s="69"/>
      <c r="O17" s="69"/>
      <c r="P17" s="69"/>
      <c r="Q17" s="69"/>
      <c r="R17" s="69"/>
      <c r="S17" s="69"/>
      <c r="T17" s="69"/>
      <c r="U17" s="69"/>
      <c r="V17" s="69"/>
      <c r="W17" s="69"/>
      <c r="X17" s="69"/>
      <c r="Y17" s="69"/>
      <c r="Z17" s="69"/>
    </row>
    <row r="18" spans="1:26">
      <c r="A18" s="4"/>
      <c r="B18" s="2"/>
      <c r="C18" s="2"/>
      <c r="D18" s="2"/>
      <c r="E18" s="2"/>
      <c r="F18" s="2"/>
      <c r="G18" s="2"/>
      <c r="H18" s="2"/>
      <c r="I18" s="2"/>
      <c r="J18" s="14"/>
      <c r="K18" s="46"/>
      <c r="L18" s="46"/>
      <c r="M18" s="69"/>
      <c r="N18" s="69"/>
      <c r="O18" s="69"/>
      <c r="P18" s="69"/>
      <c r="Q18" s="69"/>
      <c r="R18" s="69"/>
      <c r="S18" s="69"/>
      <c r="T18" s="69"/>
      <c r="U18" s="69"/>
      <c r="V18" s="69"/>
      <c r="W18" s="69"/>
      <c r="X18" s="69"/>
      <c r="Y18" s="69"/>
      <c r="Z18" s="69"/>
    </row>
    <row r="19" spans="1:26">
      <c r="A19" s="4"/>
      <c r="B19" s="2"/>
      <c r="C19" s="2"/>
      <c r="D19" s="2"/>
      <c r="E19" s="2"/>
      <c r="F19" s="2"/>
      <c r="G19" s="2"/>
      <c r="H19" s="2"/>
      <c r="I19" s="2"/>
      <c r="J19" s="14"/>
      <c r="K19" s="46"/>
      <c r="L19" s="46"/>
      <c r="M19" s="69"/>
      <c r="N19" s="69"/>
      <c r="O19" s="69"/>
      <c r="P19" s="69"/>
      <c r="Q19" s="69"/>
      <c r="R19" s="69"/>
      <c r="S19" s="69"/>
      <c r="T19" s="69"/>
      <c r="U19" s="69"/>
      <c r="V19" s="69"/>
      <c r="W19" s="69"/>
      <c r="X19" s="69"/>
      <c r="Y19" s="69"/>
      <c r="Z19" s="69"/>
    </row>
    <row r="20" spans="1:26">
      <c r="A20" s="4"/>
      <c r="B20" s="2"/>
      <c r="C20" s="2"/>
      <c r="D20" s="2"/>
      <c r="E20" s="2"/>
      <c r="F20" s="2"/>
      <c r="G20" s="2"/>
      <c r="H20" s="2"/>
      <c r="I20" s="2"/>
      <c r="J20" s="14"/>
      <c r="K20" s="46"/>
      <c r="L20" s="46"/>
      <c r="M20" s="69"/>
      <c r="N20" s="69"/>
      <c r="O20" s="69"/>
      <c r="P20" s="69"/>
      <c r="Q20" s="69"/>
      <c r="R20" s="69"/>
      <c r="S20" s="69"/>
      <c r="T20" s="69"/>
      <c r="U20" s="69"/>
      <c r="V20" s="69"/>
      <c r="W20" s="69"/>
      <c r="X20" s="69"/>
      <c r="Y20" s="69"/>
      <c r="Z20" s="69"/>
    </row>
    <row r="21" spans="1:26">
      <c r="A21" s="4"/>
      <c r="B21" s="2"/>
      <c r="C21" s="2"/>
      <c r="D21" s="2"/>
      <c r="E21" s="2"/>
      <c r="F21" s="2"/>
      <c r="G21" s="2"/>
      <c r="H21" s="2"/>
      <c r="I21" s="2"/>
      <c r="J21" s="14"/>
      <c r="K21" s="46"/>
      <c r="L21" s="46"/>
      <c r="M21" s="69"/>
      <c r="N21" s="69"/>
      <c r="O21" s="69"/>
      <c r="P21" s="69"/>
      <c r="Q21" s="69"/>
      <c r="R21" s="69"/>
      <c r="S21" s="69"/>
      <c r="T21" s="69"/>
      <c r="U21" s="69"/>
      <c r="V21" s="69"/>
      <c r="W21" s="69"/>
      <c r="X21" s="69"/>
      <c r="Y21" s="69"/>
      <c r="Z21" s="69"/>
    </row>
    <row r="22" spans="1:26">
      <c r="A22" s="4"/>
      <c r="B22" s="2"/>
      <c r="C22" s="2"/>
      <c r="D22" s="2"/>
      <c r="E22" s="2"/>
      <c r="F22" s="2"/>
      <c r="G22" s="2"/>
      <c r="H22" s="2"/>
      <c r="I22" s="2"/>
      <c r="J22" s="14"/>
      <c r="K22" s="46"/>
      <c r="L22" s="46"/>
      <c r="M22" s="69"/>
      <c r="N22" s="69"/>
      <c r="O22" s="69"/>
      <c r="P22" s="69"/>
      <c r="Q22" s="69"/>
      <c r="R22" s="69"/>
      <c r="S22" s="69"/>
      <c r="T22" s="69"/>
      <c r="U22" s="69"/>
      <c r="V22" s="69"/>
      <c r="W22" s="69"/>
      <c r="X22" s="69"/>
      <c r="Y22" s="69"/>
      <c r="Z22" s="69"/>
    </row>
    <row r="23" spans="1:26">
      <c r="A23" s="4"/>
      <c r="B23" s="2"/>
      <c r="C23" s="2"/>
      <c r="D23" s="2"/>
      <c r="E23" s="2"/>
      <c r="F23" s="2"/>
      <c r="G23" s="2"/>
      <c r="H23" s="2"/>
      <c r="I23" s="2"/>
      <c r="J23" s="14"/>
      <c r="K23" s="46"/>
      <c r="L23" s="46"/>
      <c r="M23" s="69"/>
      <c r="N23" s="69"/>
      <c r="O23" s="69"/>
      <c r="P23" s="69"/>
      <c r="Q23" s="69"/>
      <c r="R23" s="69"/>
      <c r="S23" s="69"/>
      <c r="T23" s="69"/>
      <c r="U23" s="69"/>
      <c r="V23" s="69"/>
      <c r="W23" s="69"/>
      <c r="X23" s="69"/>
      <c r="Y23" s="69"/>
      <c r="Z23" s="69"/>
    </row>
    <row r="24" spans="1:26">
      <c r="A24" s="4"/>
      <c r="B24" s="2"/>
      <c r="C24" s="2"/>
      <c r="D24" s="2"/>
      <c r="E24" s="2"/>
      <c r="F24" s="2"/>
      <c r="G24" s="2"/>
      <c r="H24" s="2"/>
      <c r="I24" s="2"/>
      <c r="J24" s="14"/>
      <c r="K24" s="46"/>
      <c r="L24" s="46"/>
      <c r="M24" s="69"/>
      <c r="N24" s="69"/>
      <c r="O24" s="69"/>
      <c r="P24" s="69"/>
      <c r="Q24" s="69"/>
      <c r="R24" s="69"/>
      <c r="S24" s="69"/>
      <c r="T24" s="69"/>
      <c r="U24" s="69"/>
      <c r="V24" s="69"/>
      <c r="W24" s="69"/>
      <c r="X24" s="69"/>
      <c r="Y24" s="69"/>
      <c r="Z24" s="69"/>
    </row>
    <row r="25" spans="1:26">
      <c r="A25" s="4"/>
      <c r="B25" s="2"/>
      <c r="C25" s="2"/>
      <c r="D25" s="2"/>
      <c r="E25" s="2"/>
      <c r="F25" s="2"/>
      <c r="G25" s="2"/>
      <c r="H25" s="2"/>
      <c r="I25" s="2"/>
      <c r="J25" s="14"/>
      <c r="K25" s="46"/>
      <c r="L25" s="46"/>
      <c r="M25" s="69"/>
      <c r="N25" s="69"/>
      <c r="O25" s="69"/>
      <c r="P25" s="69"/>
      <c r="Q25" s="69"/>
      <c r="R25" s="69"/>
      <c r="S25" s="69"/>
      <c r="T25" s="69"/>
      <c r="U25" s="69"/>
      <c r="V25" s="69"/>
      <c r="W25" s="69"/>
      <c r="X25" s="69"/>
      <c r="Y25" s="69"/>
      <c r="Z25" s="69"/>
    </row>
    <row r="26" spans="1:26">
      <c r="A26" s="4"/>
      <c r="B26" s="2"/>
      <c r="C26" s="2"/>
      <c r="D26" s="2"/>
      <c r="E26" s="2"/>
      <c r="F26" s="2"/>
      <c r="G26" s="2"/>
      <c r="H26" s="2"/>
      <c r="I26" s="2"/>
      <c r="J26" s="14"/>
      <c r="K26" s="46"/>
      <c r="L26" s="46"/>
      <c r="M26" s="69"/>
      <c r="N26" s="69"/>
      <c r="O26" s="69"/>
      <c r="P26" s="69"/>
      <c r="Q26" s="69"/>
      <c r="R26" s="69"/>
      <c r="S26" s="69"/>
      <c r="T26" s="69"/>
      <c r="U26" s="69"/>
      <c r="V26" s="69"/>
      <c r="W26" s="69"/>
      <c r="X26" s="69"/>
      <c r="Y26" s="69"/>
      <c r="Z26" s="69"/>
    </row>
    <row r="27" spans="1:26">
      <c r="A27" s="4"/>
      <c r="B27" s="2"/>
      <c r="C27" s="2"/>
      <c r="D27" s="2"/>
      <c r="E27" s="2"/>
      <c r="F27" s="2"/>
      <c r="G27" s="2"/>
      <c r="H27" s="2"/>
      <c r="I27" s="2"/>
      <c r="J27" s="14"/>
      <c r="K27" s="46"/>
      <c r="L27" s="46"/>
      <c r="M27" s="69"/>
      <c r="N27" s="69"/>
      <c r="O27" s="69"/>
      <c r="P27" s="69"/>
      <c r="Q27" s="69"/>
      <c r="R27" s="69"/>
      <c r="S27" s="69"/>
      <c r="T27" s="69"/>
      <c r="U27" s="69"/>
      <c r="V27" s="69"/>
      <c r="W27" s="69"/>
      <c r="X27" s="69"/>
      <c r="Y27" s="69"/>
      <c r="Z27" s="69"/>
    </row>
    <row r="28" spans="1:26">
      <c r="A28" s="4"/>
      <c r="B28" s="2"/>
      <c r="C28" s="2"/>
      <c r="D28" s="2"/>
      <c r="E28" s="2"/>
      <c r="F28" s="2"/>
      <c r="G28" s="2"/>
      <c r="H28" s="2"/>
      <c r="I28" s="2"/>
      <c r="J28" s="14"/>
      <c r="K28" s="46"/>
      <c r="L28" s="46"/>
      <c r="M28" s="69"/>
      <c r="N28" s="69"/>
      <c r="O28" s="69"/>
      <c r="P28" s="69"/>
      <c r="Q28" s="69"/>
      <c r="R28" s="69"/>
      <c r="S28" s="69"/>
      <c r="T28" s="69"/>
      <c r="U28" s="69"/>
      <c r="V28" s="69"/>
      <c r="W28" s="69"/>
      <c r="X28" s="69"/>
      <c r="Y28" s="69"/>
      <c r="Z28" s="69"/>
    </row>
    <row r="29" spans="1:26">
      <c r="A29" s="4"/>
      <c r="B29" s="2"/>
      <c r="C29" s="2"/>
      <c r="D29" s="2"/>
      <c r="E29" s="2"/>
      <c r="F29" s="2"/>
      <c r="G29" s="2"/>
      <c r="H29" s="2"/>
      <c r="I29" s="2"/>
      <c r="J29" s="14"/>
      <c r="K29" s="46"/>
      <c r="L29" s="46"/>
      <c r="M29" s="69"/>
      <c r="N29" s="69"/>
      <c r="O29" s="69"/>
      <c r="P29" s="69"/>
      <c r="Q29" s="69"/>
      <c r="R29" s="69"/>
      <c r="S29" s="69"/>
      <c r="T29" s="69"/>
      <c r="U29" s="69"/>
      <c r="V29" s="69"/>
      <c r="W29" s="69"/>
      <c r="X29" s="69"/>
      <c r="Y29" s="69"/>
      <c r="Z29" s="69"/>
    </row>
    <row r="30" spans="1:26">
      <c r="A30" s="4"/>
      <c r="B30" s="2"/>
      <c r="C30" s="2"/>
      <c r="D30" s="2"/>
      <c r="E30" s="2"/>
      <c r="F30" s="2"/>
      <c r="G30" s="2"/>
      <c r="H30" s="2"/>
      <c r="I30" s="2"/>
      <c r="J30" s="14"/>
      <c r="K30" s="46"/>
      <c r="L30" s="46"/>
      <c r="M30" s="69"/>
      <c r="N30" s="69"/>
      <c r="O30" s="69"/>
      <c r="P30" s="69"/>
      <c r="Q30" s="69"/>
      <c r="R30" s="69"/>
      <c r="S30" s="69"/>
      <c r="T30" s="69"/>
      <c r="U30" s="69"/>
      <c r="V30" s="69"/>
      <c r="W30" s="69"/>
      <c r="X30" s="69"/>
      <c r="Y30" s="69"/>
      <c r="Z30" s="69"/>
    </row>
    <row r="31" spans="1:26">
      <c r="A31" s="4"/>
      <c r="B31" s="2"/>
      <c r="C31" s="2"/>
      <c r="D31" s="2"/>
      <c r="E31" s="2"/>
      <c r="F31" s="2"/>
      <c r="G31" s="2"/>
      <c r="H31" s="2"/>
      <c r="I31" s="2"/>
      <c r="J31" s="14"/>
      <c r="K31" s="46"/>
      <c r="L31" s="46"/>
      <c r="M31" s="69"/>
      <c r="N31" s="69"/>
      <c r="O31" s="69"/>
      <c r="P31" s="69"/>
      <c r="Q31" s="69"/>
      <c r="R31" s="69"/>
      <c r="S31" s="69"/>
      <c r="T31" s="69"/>
      <c r="U31" s="69"/>
      <c r="V31" s="69"/>
      <c r="W31" s="69"/>
      <c r="X31" s="69"/>
      <c r="Y31" s="69"/>
      <c r="Z31" s="69"/>
    </row>
    <row r="32" spans="1:26">
      <c r="A32" s="32"/>
      <c r="B32" s="33"/>
      <c r="C32" s="33"/>
      <c r="D32" s="33"/>
      <c r="E32" s="33"/>
      <c r="F32" s="33"/>
      <c r="G32" s="33"/>
      <c r="H32" s="33"/>
      <c r="I32" s="33"/>
      <c r="J32" s="12"/>
      <c r="K32" s="46"/>
      <c r="L32" s="46"/>
      <c r="M32" s="69"/>
      <c r="N32" s="69"/>
      <c r="O32" s="69"/>
      <c r="P32" s="69"/>
      <c r="Q32" s="69"/>
      <c r="R32" s="69"/>
      <c r="S32" s="69"/>
      <c r="T32" s="69"/>
      <c r="U32" s="69"/>
      <c r="V32" s="69"/>
      <c r="W32" s="69"/>
      <c r="X32" s="69"/>
      <c r="Y32" s="69"/>
      <c r="Z32" s="69"/>
    </row>
    <row r="33" spans="1:26">
      <c r="A33" s="46"/>
      <c r="B33" s="46"/>
      <c r="C33" s="46"/>
      <c r="D33" s="46"/>
      <c r="E33" s="46"/>
      <c r="F33" s="46"/>
      <c r="G33" s="46"/>
      <c r="H33" s="46"/>
      <c r="I33" s="46"/>
      <c r="J33" s="46"/>
      <c r="K33" s="46"/>
      <c r="L33" s="46"/>
      <c r="M33" s="69"/>
      <c r="N33" s="69"/>
      <c r="O33" s="69"/>
      <c r="P33" s="69"/>
      <c r="Q33" s="69"/>
      <c r="R33" s="69"/>
      <c r="S33" s="69"/>
      <c r="T33" s="69"/>
      <c r="U33" s="69"/>
      <c r="V33" s="69"/>
      <c r="W33" s="69"/>
      <c r="X33" s="69"/>
      <c r="Y33" s="69"/>
      <c r="Z33" s="69"/>
    </row>
    <row r="34" spans="1:26">
      <c r="M34" s="69"/>
      <c r="N34" s="69"/>
      <c r="O34" s="69"/>
      <c r="P34" s="69"/>
      <c r="Q34" s="69"/>
      <c r="R34" s="69"/>
      <c r="S34" s="69"/>
      <c r="T34" s="69"/>
      <c r="U34" s="69"/>
      <c r="V34" s="69"/>
      <c r="W34" s="69"/>
      <c r="X34" s="69"/>
      <c r="Y34" s="69"/>
      <c r="Z34" s="69"/>
    </row>
    <row r="35" spans="1:26">
      <c r="M35" s="42"/>
      <c r="N35" s="42"/>
      <c r="O35" s="42"/>
      <c r="P35" s="42"/>
      <c r="Q35" s="42"/>
      <c r="R35" s="42"/>
      <c r="S35" s="42"/>
      <c r="T35" s="42"/>
      <c r="U35" s="42"/>
      <c r="V35" s="42"/>
      <c r="W35" s="42"/>
      <c r="X35" s="42"/>
      <c r="Y35" s="42"/>
      <c r="Z35" s="42"/>
    </row>
  </sheetData>
  <mergeCells count="15">
    <mergeCell ref="C13:G14"/>
    <mergeCell ref="H13:J14"/>
    <mergeCell ref="C3:G4"/>
    <mergeCell ref="M1:T2"/>
    <mergeCell ref="H4:J4"/>
    <mergeCell ref="D1:I1"/>
    <mergeCell ref="H6:J6"/>
    <mergeCell ref="H8:J8"/>
    <mergeCell ref="H10:J10"/>
    <mergeCell ref="H12:J12"/>
    <mergeCell ref="C11:G12"/>
    <mergeCell ref="C9:G10"/>
    <mergeCell ref="C7:G8"/>
    <mergeCell ref="C5:G6"/>
    <mergeCell ref="M4:Z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2025-12-14T23:01:33Z</dcterms:created>
  <dcterms:modified xsi:type="dcterms:W3CDTF">2025-12-16T03:56:14Z</dcterms:modified>
  <cp:category/>
  <cp:contentStatus/>
</cp:coreProperties>
</file>