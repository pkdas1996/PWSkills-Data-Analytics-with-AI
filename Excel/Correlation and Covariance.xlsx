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983F7429-E579-44DC-AA55-34FD7958C348}" xr6:coauthVersionLast="47" xr6:coauthVersionMax="47" xr10:uidLastSave="{00000000-0000-0000-0000-000000000000}"/>
  <bookViews>
    <workbookView xWindow="240" yWindow="105" windowWidth="14805" windowHeight="8010" firstSheet="4" activeTab="3" xr2:uid="{00000000-000D-0000-FFFF-FFFF00000000}"/>
  </bookViews>
  <sheets>
    <sheet name="Q1,2" sheetId="1" r:id="rId1"/>
    <sheet name="Q3,4" sheetId="2" r:id="rId2"/>
    <sheet name="Q5,6" sheetId="3" r:id="rId3"/>
    <sheet name="Q7,8" sheetId="4" r:id="rId4"/>
    <sheet name="Q9,10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4" l="1"/>
  <c r="E21" i="5"/>
  <c r="E18" i="5"/>
  <c r="E17" i="5"/>
  <c r="L11" i="4"/>
  <c r="I8" i="4"/>
  <c r="I7" i="4"/>
  <c r="P11" i="4"/>
  <c r="P7" i="4"/>
  <c r="P8" i="4"/>
  <c r="P9" i="4"/>
  <c r="P10" i="4"/>
  <c r="P6" i="4"/>
  <c r="N7" i="4"/>
  <c r="N8" i="4"/>
  <c r="N9" i="4"/>
  <c r="N10" i="4"/>
  <c r="N6" i="4"/>
  <c r="L6" i="4"/>
  <c r="L7" i="4"/>
  <c r="L8" i="4"/>
  <c r="L9" i="4"/>
  <c r="L10" i="4"/>
  <c r="J7" i="4"/>
  <c r="J8" i="4"/>
  <c r="J9" i="4"/>
  <c r="J10" i="4"/>
  <c r="I9" i="4"/>
  <c r="I10" i="4"/>
  <c r="J6" i="4"/>
  <c r="I6" i="4"/>
  <c r="E6" i="4"/>
  <c r="E5" i="4"/>
  <c r="G26" i="3"/>
  <c r="G23" i="3"/>
  <c r="D27" i="3"/>
  <c r="C24" i="3"/>
  <c r="C25" i="3"/>
  <c r="C26" i="3"/>
  <c r="C23" i="3"/>
  <c r="B26" i="3"/>
  <c r="B25" i="3"/>
  <c r="B24" i="3"/>
  <c r="B23" i="3"/>
  <c r="A23" i="3"/>
  <c r="A26" i="3"/>
  <c r="A25" i="3"/>
  <c r="A24" i="3"/>
  <c r="H18" i="3"/>
  <c r="H17" i="3"/>
  <c r="N11" i="4" l="1"/>
  <c r="A15" i="4" l="1"/>
</calcChain>
</file>

<file path=xl/sharedStrings.xml><?xml version="1.0" encoding="utf-8"?>
<sst xmlns="http://schemas.openxmlformats.org/spreadsheetml/2006/main" count="145" uniqueCount="135">
  <si>
    <t>Q1</t>
  </si>
  <si>
    <t>Define Covariance and explain how it differs from Correlation in terms of scale and interpretation.</t>
  </si>
  <si>
    <r>
      <rPr>
        <b/>
        <sz val="11"/>
        <color rgb="FF000000"/>
        <rFont val="Aptos Narrow"/>
        <scheme val="minor"/>
      </rPr>
      <t>Covariance</t>
    </r>
    <r>
      <rPr>
        <sz val="11"/>
        <color rgb="FF000000"/>
        <rFont val="Aptos Narrow"/>
        <scheme val="minor"/>
      </rPr>
      <t xml:space="preserve"> measures how two variables move/change together. </t>
    </r>
  </si>
  <si>
    <t>It indicates whether increases in one variable correspond to increases or decreases in another.</t>
  </si>
  <si>
    <t>Difference between Covariance and Correlation</t>
  </si>
  <si>
    <t>Covariance</t>
  </si>
  <si>
    <t>Correlation</t>
  </si>
  <si>
    <t>Scale</t>
  </si>
  <si>
    <t>Dependent on units or scale of variables.</t>
  </si>
  <si>
    <t>Unit-free (dimensionless and standardized)</t>
  </si>
  <si>
    <t>Range</t>
  </si>
  <si>
    <t>"-∞ to +∞"</t>
  </si>
  <si>
    <t>"-1 to +1"</t>
  </si>
  <si>
    <t>Interpretation</t>
  </si>
  <si>
    <t>positive value - variables move in the same direction.</t>
  </si>
  <si>
    <t>values closer to +1 indicate a strong positive relationship.</t>
  </si>
  <si>
    <t>negative value - change in opposite directions.</t>
  </si>
  <si>
    <t>closer to -1 =&gt; strong negative correlation</t>
  </si>
  <si>
    <t>hard to interpret magnitude (strength).</t>
  </si>
  <si>
    <t>0 =&gt; indicates no linear relationship.</t>
  </si>
  <si>
    <t>Correlation is essentially a standardized version of  Covariance.</t>
  </si>
  <si>
    <t>Q2</t>
  </si>
  <si>
    <t>What does a positive, negative, and zero covariance indicate about the relationship between two variables?</t>
  </si>
  <si>
    <t>Positive covariance</t>
  </si>
  <si>
    <t>Variables move in the same direction. (both increase/ decrease)</t>
  </si>
  <si>
    <t>E.g. When demand increases, sales rise.</t>
  </si>
  <si>
    <t>Negative covariance</t>
  </si>
  <si>
    <t>Variables move in opposite directions. (one increases, the other decreases.)</t>
  </si>
  <si>
    <t>E.g. When inventory turnover is high (products sell fast), storage costs per unit decrease.</t>
  </si>
  <si>
    <t>Zero Covariance</t>
  </si>
  <si>
    <t>No linear relationship between variables - they change independently.</t>
  </si>
  <si>
    <t>E.g. Change in price of office supplies do not affect outside temperature and vice versa.</t>
  </si>
  <si>
    <t>Q3</t>
  </si>
  <si>
    <t>Discuss the limitations of covariance as a measure of relationship between two variables. Why is correlation preferred in many cases?</t>
  </si>
  <si>
    <t>Limitations of Covariance</t>
  </si>
  <si>
    <t>Covariance value changes with units (e.g. dollars vs cents) or scale (e.g. height in cm vs inches) of variables.</t>
  </si>
  <si>
    <t>No fixed range - Covariance can range from negative infinity to positive infinity (magnitude/ strength is hard to interpret).</t>
  </si>
  <si>
    <t>Magnitude isn't standardized - cannot compare strength across datasets.</t>
  </si>
  <si>
    <t>Why Correlation is preferred</t>
  </si>
  <si>
    <t>Standardized and unit-free.</t>
  </si>
  <si>
    <t>Bounded between -1 and +1 (values close to +1/-1 - a strong relationship, values near 0 - a weak/ no linear relationship.)</t>
  </si>
  <si>
    <t>Easier to interpret - allows comparison of relationship strengths across different datasets.</t>
  </si>
  <si>
    <t>Q4</t>
  </si>
  <si>
    <t>Explain the difference between Pearson’s correlation coefficient and Spearman’s rank correlation coefficient.</t>
  </si>
  <si>
    <t>When would you prefer to use Spearman’s correlation?</t>
  </si>
  <si>
    <t>Pearson's correlation coefficient</t>
  </si>
  <si>
    <t>Spearman's rank correlation coefficient</t>
  </si>
  <si>
    <t>Measures</t>
  </si>
  <si>
    <t>Linear relationships</t>
  </si>
  <si>
    <t>Monotonic relationships (consistent direction, not necessarily linear)</t>
  </si>
  <si>
    <t>Data Type</t>
  </si>
  <si>
    <t>Continuous, normally distributed</t>
  </si>
  <si>
    <t>Ordinal/ ranked, non-normal</t>
  </si>
  <si>
    <t>Based on</t>
  </si>
  <si>
    <t>Actual values</t>
  </si>
  <si>
    <t>Ranks</t>
  </si>
  <si>
    <t>Sensitive to outliers</t>
  </si>
  <si>
    <t>Yes</t>
  </si>
  <si>
    <t>No (less sensitive)</t>
  </si>
  <si>
    <t>Use Spearman when:</t>
  </si>
  <si>
    <t>Data is not normally distributed.</t>
  </si>
  <si>
    <t>Relationship is monotonic but not linear.</t>
  </si>
  <si>
    <t>Data contains outliers or ranks.</t>
  </si>
  <si>
    <t>Often preferred for smaller datasets.</t>
  </si>
  <si>
    <t>Q5</t>
  </si>
  <si>
    <t>If the correlation coefficient between two variables X and Y is 0.85, interpret this value in context.</t>
  </si>
  <si>
    <t>Can you infer causation from this value? Why or why not?</t>
  </si>
  <si>
    <r>
      <rPr>
        <sz val="11"/>
        <color rgb="FF000000"/>
        <rFont val="Aptos Narrow"/>
        <scheme val="minor"/>
      </rPr>
      <t xml:space="preserve">Indicates a </t>
    </r>
    <r>
      <rPr>
        <b/>
        <sz val="11"/>
        <color rgb="FF000000"/>
        <rFont val="Aptos Narrow"/>
        <scheme val="minor"/>
      </rPr>
      <t>strong positive linear relationship between X and Y. (close to +1)</t>
    </r>
  </si>
  <si>
    <t>As X increases, Y tends to increase significantly.</t>
  </si>
  <si>
    <t>But we cannot infer causation.</t>
  </si>
  <si>
    <t>Correlation measures association, not cause-and-effect.</t>
  </si>
  <si>
    <t>Other factors (a third variable) could influence both X and Y, or the relationship might be coincidental.</t>
  </si>
  <si>
    <t>Q6</t>
  </si>
  <si>
    <t>Using the dataset below, calculate the covariance between X and Y.</t>
  </si>
  <si>
    <t>X</t>
  </si>
  <si>
    <t>Step1</t>
  </si>
  <si>
    <t>Y</t>
  </si>
  <si>
    <t>Means</t>
  </si>
  <si>
    <t>Xbar</t>
  </si>
  <si>
    <t>Mean of X</t>
  </si>
  <si>
    <t>n</t>
  </si>
  <si>
    <t>Ybar</t>
  </si>
  <si>
    <t>Mean of Y</t>
  </si>
  <si>
    <t>Step2</t>
  </si>
  <si>
    <t>Compute deviations from mean and products</t>
  </si>
  <si>
    <t>Step3</t>
  </si>
  <si>
    <t>X-Xbar</t>
  </si>
  <si>
    <t>Y-Ybar</t>
  </si>
  <si>
    <t>Product (X-Xbar)*(Y-Ybar)</t>
  </si>
  <si>
    <t>Population covariance: Σ (X-Xbar)*(Y-Ybar)/n</t>
  </si>
  <si>
    <t>Sample covariance:  Σ (X-Xbar)*(Y-Ybar)/(n-1)</t>
  </si>
  <si>
    <t>Total</t>
  </si>
  <si>
    <t>Q7</t>
  </si>
  <si>
    <t>Compute the Pearson correlation coefficient between variables A and B:</t>
  </si>
  <si>
    <t>A</t>
  </si>
  <si>
    <t>B</t>
  </si>
  <si>
    <t>Deviations</t>
  </si>
  <si>
    <t xml:space="preserve">Mean of A: </t>
  </si>
  <si>
    <t>A-MeanA</t>
  </si>
  <si>
    <t>B-MeanB</t>
  </si>
  <si>
    <t>(A-MeanA)(B-MeanB)</t>
  </si>
  <si>
    <t>(A-MeanA)^2</t>
  </si>
  <si>
    <t>(B-MeanB)^2</t>
  </si>
  <si>
    <t>Mean of B:</t>
  </si>
  <si>
    <t>Pearson formula</t>
  </si>
  <si>
    <t>Σ (A-MeanA)(B-MeanB) / SQRT( Σ (A-MeanA)^2 * Σ (B-MeanB)^2)</t>
  </si>
  <si>
    <t>r is very close to +1 - Thus, A and B have an extremely strong positive linear relationship.</t>
  </si>
  <si>
    <t>Q8</t>
  </si>
  <si>
    <t>The following table shows heights (in cm) and weights (in kg) of 5 students.</t>
  </si>
  <si>
    <t>Find the correlation coefficient between Height and Weight.</t>
  </si>
  <si>
    <t>Height</t>
  </si>
  <si>
    <t>Weight</t>
  </si>
  <si>
    <t>Correlation Coefficient (r) = CORREL(Height,Weight)</t>
  </si>
  <si>
    <t xml:space="preserve">r is very close to +1 - This shows a very strong positive correlation. </t>
  </si>
  <si>
    <t>As height increases, weight also increases almost linearly.</t>
  </si>
  <si>
    <t>Q9</t>
  </si>
  <si>
    <t>Given the dataset below, determine whether there is a positive or negative correlation between X and Y.</t>
  </si>
  <si>
    <t>(No need for exact calculation, just reasoning.)</t>
  </si>
  <si>
    <t>Looking at the pattern:</t>
  </si>
  <si>
    <t>As X increases from 1 to 5, Y decreases from 15 to 3.</t>
  </si>
  <si>
    <t>This means when one variable increases, the other consistently decreases.</t>
  </si>
  <si>
    <t>Therefore, there is a negative correlation between X and Y.</t>
  </si>
  <si>
    <t>Q10</t>
  </si>
  <si>
    <t>Two investment portfolios have the following returns (%) over 5 years.</t>
  </si>
  <si>
    <t>Compute the covariance and correlation coefficient, and interpret whether the portfolios move together.</t>
  </si>
  <si>
    <t>Year</t>
  </si>
  <si>
    <t>PortfolioA</t>
  </si>
  <si>
    <t>PortfolioB</t>
  </si>
  <si>
    <t>Covariance (COVARIANCE.P/COVARIANCE.S)</t>
  </si>
  <si>
    <t>Population</t>
  </si>
  <si>
    <t>Sample</t>
  </si>
  <si>
    <t>Correlation Coefficient (CORREL)</t>
  </si>
  <si>
    <t>Correlation is positive and strong (close to +1).</t>
  </si>
  <si>
    <t>The two portfolios tend to move strongly together in the same direction.</t>
  </si>
  <si>
    <t>When Portfolio A performs well, Portfolio B also tends to perform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</si>
</sst>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0" fillId="0" borderId="14" xfId="0" applyBorder="1"/>
    <xf numFmtId="0" fontId="1" fillId="0" borderId="14" xfId="0" applyFont="1" applyBorder="1"/>
    <xf numFmtId="0" fontId="0" fillId="0" borderId="2" xfId="0" applyBorder="1"/>
    <xf numFmtId="0" fontId="0" fillId="0" borderId="13" xfId="0" applyBorder="1"/>
    <xf numFmtId="0" fontId="5" fillId="0" borderId="0" xfId="0" applyFont="1"/>
    <xf numFmtId="0" fontId="0" fillId="0" borderId="10" xfId="0" applyBorder="1"/>
    <xf numFmtId="0" fontId="1" fillId="0" borderId="10" xfId="0" applyFont="1" applyBorder="1" applyAlignment="1">
      <alignment horizontal="center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selection activeCell="C11" sqref="C11"/>
    </sheetView>
  </sheetViews>
  <sheetFormatPr defaultRowHeight="15"/>
  <sheetData>
    <row r="1" spans="1:8">
      <c r="A1" s="1" t="s">
        <v>0</v>
      </c>
    </row>
    <row r="2" spans="1:8">
      <c r="A2" t="s">
        <v>1</v>
      </c>
    </row>
    <row r="4" spans="1:8">
      <c r="A4" s="2" t="s">
        <v>2</v>
      </c>
    </row>
    <row r="5" spans="1:8">
      <c r="A5" t="s">
        <v>3</v>
      </c>
    </row>
    <row r="7" spans="1:8">
      <c r="A7" s="1" t="s">
        <v>4</v>
      </c>
    </row>
    <row r="9" spans="1:8">
      <c r="C9" s="1" t="s">
        <v>5</v>
      </c>
      <c r="H9" s="1" t="s">
        <v>6</v>
      </c>
    </row>
    <row r="11" spans="1:8">
      <c r="A11" s="1" t="s">
        <v>7</v>
      </c>
      <c r="C11" t="s">
        <v>8</v>
      </c>
      <c r="H11" t="s">
        <v>9</v>
      </c>
    </row>
    <row r="13" spans="1:8">
      <c r="A13" s="1" t="s">
        <v>10</v>
      </c>
      <c r="C13" t="s">
        <v>11</v>
      </c>
      <c r="H13" t="s">
        <v>12</v>
      </c>
    </row>
    <row r="15" spans="1:8">
      <c r="A15" s="1" t="s">
        <v>13</v>
      </c>
      <c r="C15" t="s">
        <v>14</v>
      </c>
      <c r="H15" t="s">
        <v>15</v>
      </c>
    </row>
    <row r="16" spans="1:8">
      <c r="C16" t="s">
        <v>16</v>
      </c>
      <c r="H16" t="s">
        <v>17</v>
      </c>
    </row>
    <row r="17" spans="1:10">
      <c r="C17" t="s">
        <v>18</v>
      </c>
      <c r="H17" t="s">
        <v>19</v>
      </c>
    </row>
    <row r="19" spans="1:10">
      <c r="A19" t="s">
        <v>20</v>
      </c>
    </row>
    <row r="21" spans="1:10">
      <c r="A21" s="1" t="s">
        <v>21</v>
      </c>
    </row>
    <row r="22" spans="1:10">
      <c r="A22" t="s">
        <v>22</v>
      </c>
    </row>
    <row r="24" spans="1:10">
      <c r="A24" s="1" t="s">
        <v>23</v>
      </c>
      <c r="C24" t="s">
        <v>24</v>
      </c>
      <c r="I24" t="s">
        <v>25</v>
      </c>
    </row>
    <row r="26" spans="1:10">
      <c r="A26" s="1" t="s">
        <v>26</v>
      </c>
      <c r="C26" t="s">
        <v>27</v>
      </c>
      <c r="J26" t="s">
        <v>28</v>
      </c>
    </row>
    <row r="28" spans="1:10">
      <c r="A28" s="1" t="s">
        <v>29</v>
      </c>
      <c r="C28" t="s">
        <v>30</v>
      </c>
      <c r="J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809-24EC-4B9C-B909-0C2F2DF66FB2}">
  <dimension ref="A1:G32"/>
  <sheetViews>
    <sheetView workbookViewId="0">
      <selection activeCell="F27" sqref="F27"/>
    </sheetView>
  </sheetViews>
  <sheetFormatPr defaultRowHeight="15"/>
  <sheetData>
    <row r="1" spans="1:1">
      <c r="A1" s="1" t="s">
        <v>32</v>
      </c>
    </row>
    <row r="2" spans="1:1">
      <c r="A2" t="s">
        <v>33</v>
      </c>
    </row>
    <row r="4" spans="1:1">
      <c r="A4" s="1" t="s">
        <v>34</v>
      </c>
    </row>
    <row r="5" spans="1:1">
      <c r="A5" t="s">
        <v>35</v>
      </c>
    </row>
    <row r="6" spans="1:1">
      <c r="A6" t="s">
        <v>36</v>
      </c>
    </row>
    <row r="7" spans="1:1">
      <c r="A7" t="s">
        <v>37</v>
      </c>
    </row>
    <row r="9" spans="1:1">
      <c r="A9" s="1" t="s">
        <v>38</v>
      </c>
    </row>
    <row r="10" spans="1:1">
      <c r="A10" t="s">
        <v>39</v>
      </c>
    </row>
    <row r="11" spans="1:1">
      <c r="A11" t="s">
        <v>40</v>
      </c>
    </row>
    <row r="12" spans="1:1">
      <c r="A12" t="s">
        <v>41</v>
      </c>
    </row>
    <row r="14" spans="1:1">
      <c r="A14" s="1" t="s">
        <v>42</v>
      </c>
    </row>
    <row r="15" spans="1:1">
      <c r="A15" t="s">
        <v>43</v>
      </c>
    </row>
    <row r="16" spans="1:1">
      <c r="A16" s="3" t="s">
        <v>44</v>
      </c>
    </row>
    <row r="18" spans="1:7">
      <c r="C18" s="1" t="s">
        <v>45</v>
      </c>
      <c r="G18" s="1" t="s">
        <v>46</v>
      </c>
    </row>
    <row r="20" spans="1:7">
      <c r="A20" s="1" t="s">
        <v>47</v>
      </c>
      <c r="C20" t="s">
        <v>48</v>
      </c>
      <c r="G20" t="s">
        <v>49</v>
      </c>
    </row>
    <row r="22" spans="1:7">
      <c r="A22" s="1" t="s">
        <v>50</v>
      </c>
      <c r="C22" t="s">
        <v>51</v>
      </c>
      <c r="G22" t="s">
        <v>52</v>
      </c>
    </row>
    <row r="24" spans="1:7">
      <c r="A24" s="1" t="s">
        <v>53</v>
      </c>
      <c r="C24" t="s">
        <v>54</v>
      </c>
      <c r="G24" t="s">
        <v>55</v>
      </c>
    </row>
    <row r="26" spans="1:7">
      <c r="A26" s="1" t="s">
        <v>56</v>
      </c>
      <c r="C26" t="s">
        <v>57</v>
      </c>
      <c r="G26" t="s">
        <v>58</v>
      </c>
    </row>
    <row r="28" spans="1:7">
      <c r="A28" s="1" t="s">
        <v>59</v>
      </c>
    </row>
    <row r="29" spans="1:7">
      <c r="A29" t="s">
        <v>60</v>
      </c>
    </row>
    <row r="30" spans="1:7">
      <c r="A30" t="s">
        <v>61</v>
      </c>
    </row>
    <row r="31" spans="1:7">
      <c r="A31" t="s">
        <v>62</v>
      </c>
    </row>
    <row r="32" spans="1:7">
      <c r="A3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56F7-CBA1-4A89-9776-F3DBECCDD528}">
  <dimension ref="A1:J27"/>
  <sheetViews>
    <sheetView topLeftCell="A7" workbookViewId="0">
      <selection activeCell="F21" sqref="F21"/>
    </sheetView>
  </sheetViews>
  <sheetFormatPr defaultRowHeight="15"/>
  <sheetData>
    <row r="1" spans="1:7">
      <c r="A1" s="1" t="s">
        <v>64</v>
      </c>
    </row>
    <row r="2" spans="1:7">
      <c r="A2" t="s">
        <v>65</v>
      </c>
    </row>
    <row r="3" spans="1:7">
      <c r="A3" t="s">
        <v>66</v>
      </c>
    </row>
    <row r="5" spans="1:7">
      <c r="A5" s="2" t="s">
        <v>67</v>
      </c>
    </row>
    <row r="6" spans="1:7">
      <c r="A6" s="1" t="s">
        <v>68</v>
      </c>
    </row>
    <row r="8" spans="1:7">
      <c r="A8" s="1" t="s">
        <v>69</v>
      </c>
    </row>
    <row r="9" spans="1:7">
      <c r="A9" s="1" t="s">
        <v>70</v>
      </c>
    </row>
    <row r="10" spans="1:7">
      <c r="A10" s="1" t="s">
        <v>71</v>
      </c>
    </row>
    <row r="12" spans="1:7">
      <c r="A12" s="1" t="s">
        <v>72</v>
      </c>
    </row>
    <row r="13" spans="1:7">
      <c r="A13" t="s">
        <v>73</v>
      </c>
    </row>
    <row r="15" spans="1:7">
      <c r="A15" s="5" t="s">
        <v>74</v>
      </c>
      <c r="B15" s="4">
        <v>2</v>
      </c>
      <c r="C15" s="4">
        <v>4</v>
      </c>
      <c r="D15" s="4">
        <v>6</v>
      </c>
      <c r="E15" s="4">
        <v>8</v>
      </c>
      <c r="G15" s="1" t="s">
        <v>75</v>
      </c>
    </row>
    <row r="16" spans="1:7">
      <c r="A16" s="5" t="s">
        <v>76</v>
      </c>
      <c r="B16" s="4">
        <v>3</v>
      </c>
      <c r="C16" s="4">
        <v>7</v>
      </c>
      <c r="D16" s="4">
        <v>5</v>
      </c>
      <c r="E16" s="4">
        <v>10</v>
      </c>
      <c r="G16" s="1" t="s">
        <v>77</v>
      </c>
    </row>
    <row r="17" spans="1:10">
      <c r="G17" s="1" t="s">
        <v>78</v>
      </c>
      <c r="H17" s="1">
        <f>AVERAGE(B15:E15)</f>
        <v>5</v>
      </c>
      <c r="J17" t="s">
        <v>79</v>
      </c>
    </row>
    <row r="18" spans="1:10">
      <c r="A18" s="5" t="s">
        <v>80</v>
      </c>
      <c r="B18" s="5">
        <v>4</v>
      </c>
      <c r="G18" s="1" t="s">
        <v>81</v>
      </c>
      <c r="H18" s="1">
        <f>AVERAGE(B16:E16)</f>
        <v>6.25</v>
      </c>
      <c r="J18" t="s">
        <v>82</v>
      </c>
    </row>
    <row r="20" spans="1:10">
      <c r="A20" s="1" t="s">
        <v>83</v>
      </c>
      <c r="B20" s="1" t="s">
        <v>84</v>
      </c>
      <c r="G20" s="1" t="s">
        <v>85</v>
      </c>
      <c r="H20" s="1" t="s">
        <v>5</v>
      </c>
    </row>
    <row r="22" spans="1:10">
      <c r="A22" s="5" t="s">
        <v>86</v>
      </c>
      <c r="B22" s="20" t="s">
        <v>87</v>
      </c>
      <c r="C22" s="6" t="s">
        <v>88</v>
      </c>
      <c r="D22" s="7"/>
      <c r="E22" s="8"/>
      <c r="G22" s="1" t="s">
        <v>89</v>
      </c>
    </row>
    <row r="23" spans="1:10">
      <c r="A23" s="16">
        <f>B$15-$H$17</f>
        <v>-3</v>
      </c>
      <c r="B23" s="10">
        <f>B$16-$H$18</f>
        <v>-3.25</v>
      </c>
      <c r="C23" s="21">
        <f>$A23*$B23</f>
        <v>9.75</v>
      </c>
      <c r="D23" s="7"/>
      <c r="E23" s="8"/>
      <c r="G23" s="1">
        <f>D27/B18</f>
        <v>4.75</v>
      </c>
    </row>
    <row r="24" spans="1:10">
      <c r="A24" s="16">
        <f>C$15-$H$17</f>
        <v>-1</v>
      </c>
      <c r="B24" s="10">
        <f>C$16-$H$18</f>
        <v>0.75</v>
      </c>
      <c r="C24" s="9">
        <f t="shared" ref="C24:C26" si="0">$A24*$B24</f>
        <v>-0.75</v>
      </c>
      <c r="D24" s="10"/>
      <c r="E24" s="11"/>
    </row>
    <row r="25" spans="1:10">
      <c r="A25" s="16">
        <f>D$15-$H$17</f>
        <v>1</v>
      </c>
      <c r="B25" s="10">
        <f>D$16-$H$18</f>
        <v>-1.25</v>
      </c>
      <c r="C25" s="9">
        <f t="shared" si="0"/>
        <v>-1.25</v>
      </c>
      <c r="D25" s="10"/>
      <c r="E25" s="11"/>
      <c r="G25" s="1" t="s">
        <v>90</v>
      </c>
    </row>
    <row r="26" spans="1:10">
      <c r="A26" s="17">
        <f>E$15-$H$17</f>
        <v>3</v>
      </c>
      <c r="B26" s="13">
        <f>E$16-$H$18</f>
        <v>3.75</v>
      </c>
      <c r="C26" s="9">
        <f t="shared" si="0"/>
        <v>11.25</v>
      </c>
      <c r="D26" s="10"/>
      <c r="E26" s="14"/>
      <c r="G26" s="1">
        <f>D27/(B18-1)</f>
        <v>6.333333333333333</v>
      </c>
    </row>
    <row r="27" spans="1:10">
      <c r="C27" s="5" t="s">
        <v>91</v>
      </c>
      <c r="D27" s="5">
        <f>SUM(C23:C26)</f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AD90-9B6B-45E7-BB85-2FB0AAA53310}">
  <dimension ref="A1:P26"/>
  <sheetViews>
    <sheetView tabSelected="1" workbookViewId="0">
      <selection activeCell="D24" sqref="D24"/>
    </sheetView>
  </sheetViews>
  <sheetFormatPr defaultRowHeight="15"/>
  <sheetData>
    <row r="1" spans="1:16">
      <c r="A1" s="1" t="s">
        <v>92</v>
      </c>
    </row>
    <row r="2" spans="1:16">
      <c r="A2" t="s">
        <v>93</v>
      </c>
    </row>
    <row r="4" spans="1:16">
      <c r="A4" s="18" t="s">
        <v>94</v>
      </c>
      <c r="B4" s="5" t="s">
        <v>95</v>
      </c>
      <c r="D4" s="1" t="s">
        <v>75</v>
      </c>
      <c r="E4" s="1" t="s">
        <v>77</v>
      </c>
      <c r="G4" s="1" t="s">
        <v>83</v>
      </c>
      <c r="H4" s="1" t="s">
        <v>96</v>
      </c>
    </row>
    <row r="5" spans="1:16">
      <c r="A5" s="16">
        <v>10</v>
      </c>
      <c r="B5" s="11">
        <v>8</v>
      </c>
      <c r="D5" t="s">
        <v>97</v>
      </c>
      <c r="E5">
        <f>AVERAGE(A5:A9)</f>
        <v>30</v>
      </c>
      <c r="G5" s="5" t="s">
        <v>94</v>
      </c>
      <c r="H5" s="5" t="s">
        <v>95</v>
      </c>
      <c r="I5" s="15" t="s">
        <v>98</v>
      </c>
      <c r="J5" s="15" t="s">
        <v>99</v>
      </c>
      <c r="K5" s="25" t="s">
        <v>100</v>
      </c>
      <c r="L5" s="25"/>
      <c r="M5" s="25" t="s">
        <v>101</v>
      </c>
      <c r="N5" s="25"/>
      <c r="O5" s="25" t="s">
        <v>102</v>
      </c>
      <c r="P5" s="25"/>
    </row>
    <row r="6" spans="1:16">
      <c r="A6" s="16">
        <v>20</v>
      </c>
      <c r="B6" s="11">
        <v>14</v>
      </c>
      <c r="D6" t="s">
        <v>103</v>
      </c>
      <c r="E6">
        <f>AVERAGE(B5:B9)</f>
        <v>18.399999999999999</v>
      </c>
      <c r="G6" s="16">
        <v>10</v>
      </c>
      <c r="H6" s="10">
        <v>8</v>
      </c>
      <c r="I6" s="21">
        <f>$G6-$E$5</f>
        <v>-20</v>
      </c>
      <c r="J6" s="21">
        <f>$H6-$E$6</f>
        <v>-10.399999999999999</v>
      </c>
      <c r="K6" s="21"/>
      <c r="L6" s="7">
        <f>$I6*$J6</f>
        <v>207.99999999999997</v>
      </c>
      <c r="M6" s="21"/>
      <c r="N6" s="7">
        <f>$I6*$I6</f>
        <v>400</v>
      </c>
      <c r="O6" s="21"/>
      <c r="P6" s="8">
        <f>$J6*$J6</f>
        <v>108.15999999999997</v>
      </c>
    </row>
    <row r="7" spans="1:16">
      <c r="A7" s="16">
        <v>30</v>
      </c>
      <c r="B7" s="11">
        <v>18</v>
      </c>
      <c r="G7" s="16">
        <v>20</v>
      </c>
      <c r="H7" s="10">
        <v>14</v>
      </c>
      <c r="I7" s="9">
        <f>$G7-$E$5</f>
        <v>-10</v>
      </c>
      <c r="J7" s="9">
        <f t="shared" ref="J7:J10" si="0">$H7-$E$6</f>
        <v>-4.3999999999999986</v>
      </c>
      <c r="K7" s="9"/>
      <c r="L7" s="10">
        <f t="shared" ref="L7:L11" si="1">$I7*$J7</f>
        <v>43.999999999999986</v>
      </c>
      <c r="M7" s="9"/>
      <c r="N7" s="10">
        <f t="shared" ref="N7:N10" si="2">$I7*$I7</f>
        <v>100</v>
      </c>
      <c r="O7" s="9"/>
      <c r="P7" s="11">
        <f t="shared" ref="P7:P10" si="3">$J7*$J7</f>
        <v>19.359999999999989</v>
      </c>
    </row>
    <row r="8" spans="1:16">
      <c r="A8" s="16">
        <v>40</v>
      </c>
      <c r="B8" s="11">
        <v>24</v>
      </c>
      <c r="G8" s="16">
        <v>30</v>
      </c>
      <c r="H8" s="10">
        <v>18</v>
      </c>
      <c r="I8" s="9">
        <f>$G8-$E$5</f>
        <v>0</v>
      </c>
      <c r="J8" s="9">
        <f t="shared" si="0"/>
        <v>-0.39999999999999858</v>
      </c>
      <c r="K8" s="9"/>
      <c r="L8" s="10">
        <f t="shared" si="1"/>
        <v>0</v>
      </c>
      <c r="M8" s="9"/>
      <c r="N8" s="10">
        <f t="shared" si="2"/>
        <v>0</v>
      </c>
      <c r="O8" s="9"/>
      <c r="P8" s="11">
        <f t="shared" si="3"/>
        <v>0.15999999999999887</v>
      </c>
    </row>
    <row r="9" spans="1:16">
      <c r="A9" s="17">
        <v>50</v>
      </c>
      <c r="B9" s="14">
        <v>28</v>
      </c>
      <c r="G9" s="16">
        <v>40</v>
      </c>
      <c r="H9" s="10">
        <v>24</v>
      </c>
      <c r="I9" s="9">
        <f t="shared" ref="I7:I10" si="4">$G9-$E$5</f>
        <v>10</v>
      </c>
      <c r="J9" s="9">
        <f t="shared" si="0"/>
        <v>5.6000000000000014</v>
      </c>
      <c r="K9" s="9"/>
      <c r="L9" s="10">
        <f t="shared" si="1"/>
        <v>56.000000000000014</v>
      </c>
      <c r="M9" s="9"/>
      <c r="N9" s="10">
        <f t="shared" si="2"/>
        <v>100</v>
      </c>
      <c r="O9" s="9"/>
      <c r="P9" s="11">
        <f t="shared" si="3"/>
        <v>31.360000000000017</v>
      </c>
    </row>
    <row r="10" spans="1:16">
      <c r="G10" s="17">
        <v>50</v>
      </c>
      <c r="H10" s="13">
        <v>28</v>
      </c>
      <c r="I10" s="12">
        <f t="shared" si="4"/>
        <v>20</v>
      </c>
      <c r="J10" s="9">
        <f t="shared" si="0"/>
        <v>9.6000000000000014</v>
      </c>
      <c r="K10" s="9"/>
      <c r="L10" s="10">
        <f t="shared" si="1"/>
        <v>192.00000000000003</v>
      </c>
      <c r="M10" s="12"/>
      <c r="N10" s="13">
        <f t="shared" si="2"/>
        <v>400</v>
      </c>
      <c r="O10" s="12"/>
      <c r="P10" s="14">
        <f t="shared" si="3"/>
        <v>92.160000000000025</v>
      </c>
    </row>
    <row r="11" spans="1:16">
      <c r="J11" s="18" t="s">
        <v>91</v>
      </c>
      <c r="K11" s="22"/>
      <c r="L11" s="19">
        <f>SUM(L6:L10)</f>
        <v>500</v>
      </c>
      <c r="M11" s="12"/>
      <c r="N11" s="14">
        <f>SUM(N6:N10)</f>
        <v>1000</v>
      </c>
      <c r="O11" s="13"/>
      <c r="P11" s="14">
        <f>SUM(P6:P10)</f>
        <v>251.2</v>
      </c>
    </row>
    <row r="12" spans="1:16">
      <c r="A12" s="1" t="s">
        <v>85</v>
      </c>
      <c r="B12" s="1" t="s">
        <v>104</v>
      </c>
    </row>
    <row r="13" spans="1:16">
      <c r="A13" s="23" t="s">
        <v>105</v>
      </c>
    </row>
    <row r="15" spans="1:16">
      <c r="A15" s="1">
        <f>L11/SQRT(N11*P11)</f>
        <v>0.99760860558452769</v>
      </c>
      <c r="C15" t="s">
        <v>106</v>
      </c>
    </row>
    <row r="17" spans="1:6">
      <c r="A17" s="1" t="s">
        <v>107</v>
      </c>
    </row>
    <row r="18" spans="1:6">
      <c r="A18" t="s">
        <v>108</v>
      </c>
    </row>
    <row r="19" spans="1:6">
      <c r="A19" t="s">
        <v>109</v>
      </c>
    </row>
    <row r="21" spans="1:6">
      <c r="A21" s="18" t="s">
        <v>110</v>
      </c>
      <c r="B21" s="5" t="s">
        <v>111</v>
      </c>
      <c r="D21" s="1" t="s">
        <v>112</v>
      </c>
    </row>
    <row r="22" spans="1:6">
      <c r="A22" s="16">
        <v>150</v>
      </c>
      <c r="B22" s="11">
        <v>50</v>
      </c>
    </row>
    <row r="23" spans="1:6">
      <c r="A23" s="16">
        <v>160</v>
      </c>
      <c r="B23" s="11">
        <v>55</v>
      </c>
      <c r="D23" s="1">
        <f>CORREL(A22:A26,B22:B26)</f>
        <v>0.99218437024647965</v>
      </c>
      <c r="F23" t="s">
        <v>113</v>
      </c>
    </row>
    <row r="24" spans="1:6">
      <c r="A24" s="16">
        <v>165</v>
      </c>
      <c r="B24" s="11">
        <v>58</v>
      </c>
      <c r="F24" s="3" t="s">
        <v>114</v>
      </c>
    </row>
    <row r="25" spans="1:6">
      <c r="A25" s="16">
        <v>170</v>
      </c>
      <c r="B25" s="11">
        <v>62</v>
      </c>
    </row>
    <row r="26" spans="1:6">
      <c r="A26" s="17">
        <v>180</v>
      </c>
      <c r="B26" s="14">
        <v>70</v>
      </c>
    </row>
  </sheetData>
  <mergeCells count="3">
    <mergeCell ref="K5:L5"/>
    <mergeCell ref="M5:N5"/>
    <mergeCell ref="O5:P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09B2-1422-4FF3-94EC-6364ED42E07C}">
  <dimension ref="A1:I22"/>
  <sheetViews>
    <sheetView topLeftCell="A2" workbookViewId="0">
      <selection activeCell="H21" sqref="H21"/>
    </sheetView>
  </sheetViews>
  <sheetFormatPr defaultRowHeight="15"/>
  <sheetData>
    <row r="1" spans="1:5">
      <c r="A1" s="1" t="s">
        <v>115</v>
      </c>
    </row>
    <row r="2" spans="1:5">
      <c r="A2" t="s">
        <v>116</v>
      </c>
    </row>
    <row r="3" spans="1:5">
      <c r="A3" t="s">
        <v>117</v>
      </c>
    </row>
    <row r="5" spans="1:5">
      <c r="A5" s="15" t="s">
        <v>74</v>
      </c>
      <c r="B5" s="5" t="s">
        <v>76</v>
      </c>
      <c r="D5" t="s">
        <v>118</v>
      </c>
    </row>
    <row r="6" spans="1:5">
      <c r="A6" s="24">
        <v>1</v>
      </c>
      <c r="B6" s="11">
        <v>15</v>
      </c>
      <c r="D6" s="1" t="s">
        <v>119</v>
      </c>
    </row>
    <row r="7" spans="1:5">
      <c r="A7" s="16">
        <v>2</v>
      </c>
      <c r="B7" s="11">
        <v>12</v>
      </c>
      <c r="D7" s="1" t="s">
        <v>120</v>
      </c>
    </row>
    <row r="8" spans="1:5">
      <c r="A8" s="16">
        <v>3</v>
      </c>
      <c r="B8" s="11">
        <v>9</v>
      </c>
      <c r="D8" s="1" t="s">
        <v>121</v>
      </c>
    </row>
    <row r="9" spans="1:5">
      <c r="A9" s="16">
        <v>4</v>
      </c>
      <c r="B9" s="11">
        <v>7</v>
      </c>
    </row>
    <row r="10" spans="1:5">
      <c r="A10" s="17">
        <v>5</v>
      </c>
      <c r="B10" s="14">
        <v>3</v>
      </c>
    </row>
    <row r="12" spans="1:5">
      <c r="A12" s="1" t="s">
        <v>122</v>
      </c>
    </row>
    <row r="13" spans="1:5">
      <c r="A13" t="s">
        <v>123</v>
      </c>
    </row>
    <row r="14" spans="1:5">
      <c r="A14" t="s">
        <v>124</v>
      </c>
    </row>
    <row r="16" spans="1:5">
      <c r="A16" s="15" t="s">
        <v>125</v>
      </c>
      <c r="B16" s="15" t="s">
        <v>126</v>
      </c>
      <c r="C16" s="5" t="s">
        <v>127</v>
      </c>
      <c r="E16" s="1" t="s">
        <v>128</v>
      </c>
    </row>
    <row r="17" spans="1:9">
      <c r="A17" s="21">
        <v>1</v>
      </c>
      <c r="B17" s="24">
        <v>8</v>
      </c>
      <c r="C17" s="11">
        <v>6</v>
      </c>
      <c r="E17" s="22">
        <f>_xlfn.COVARIANCE.P($B$17:$B$21,$C$17:$C$21)</f>
        <v>2.4</v>
      </c>
      <c r="F17" s="21" t="s">
        <v>129</v>
      </c>
      <c r="G17" s="8"/>
    </row>
    <row r="18" spans="1:9">
      <c r="A18" s="9">
        <v>2</v>
      </c>
      <c r="B18" s="16">
        <v>10</v>
      </c>
      <c r="C18" s="11">
        <v>9</v>
      </c>
      <c r="E18" s="22">
        <f>_xlfn.COVARIANCE.S($B$17:$B$21,$C$17:$C$21)</f>
        <v>3</v>
      </c>
      <c r="F18" s="22" t="s">
        <v>130</v>
      </c>
      <c r="G18" s="26"/>
    </row>
    <row r="19" spans="1:9">
      <c r="A19" s="9">
        <v>3</v>
      </c>
      <c r="B19" s="16">
        <v>12</v>
      </c>
      <c r="C19" s="11">
        <v>11</v>
      </c>
    </row>
    <row r="20" spans="1:9">
      <c r="A20" s="9">
        <v>4</v>
      </c>
      <c r="B20" s="16">
        <v>9</v>
      </c>
      <c r="C20" s="11">
        <v>8</v>
      </c>
      <c r="E20" s="1" t="s">
        <v>131</v>
      </c>
      <c r="I20" s="1" t="s">
        <v>132</v>
      </c>
    </row>
    <row r="21" spans="1:9">
      <c r="A21" s="12">
        <v>5</v>
      </c>
      <c r="B21" s="17">
        <v>11</v>
      </c>
      <c r="C21" s="14">
        <v>10</v>
      </c>
      <c r="E21">
        <f>CORREL($B$17:$B$21,$C$17:$C$21)</f>
        <v>0.98639392383214364</v>
      </c>
      <c r="I21" s="1" t="s">
        <v>133</v>
      </c>
    </row>
    <row r="22" spans="1:9">
      <c r="I22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2026-01-18T02:40:45Z</dcterms:created>
  <dcterms:modified xsi:type="dcterms:W3CDTF">2026-01-18T10:41:20Z</dcterms:modified>
  <cp:category/>
  <cp:contentStatus/>
</cp:coreProperties>
</file>