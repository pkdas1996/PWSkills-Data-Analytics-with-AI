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18"/>
  <workbookPr/>
  <xr:revisionPtr revIDLastSave="0" documentId="8_{121681FE-6815-43B5-80E3-36C335C19DE7}" xr6:coauthVersionLast="47" xr6:coauthVersionMax="47" xr10:uidLastSave="{00000000-0000-0000-0000-000000000000}"/>
  <bookViews>
    <workbookView xWindow="240" yWindow="105" windowWidth="14805" windowHeight="8010" firstSheet="1" activeTab="2" xr2:uid="{00000000-000D-0000-FFFF-FFFF00000000}"/>
  </bookViews>
  <sheets>
    <sheet name="Q1, Q2" sheetId="1" r:id="rId1"/>
    <sheet name="Q3, Q4, Q5" sheetId="2" r:id="rId2"/>
    <sheet name="Q6, Q7, Q8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3" l="1"/>
  <c r="L12" i="3"/>
  <c r="B30" i="2"/>
  <c r="F14" i="2"/>
  <c r="F2" i="3"/>
  <c r="F3" i="3"/>
  <c r="F4" i="3"/>
  <c r="C2" i="2"/>
  <c r="C3" i="2"/>
  <c r="C4" i="2"/>
  <c r="C5" i="2"/>
  <c r="C6" i="2"/>
  <c r="D11" i="1"/>
  <c r="D12" i="1"/>
  <c r="D13" i="1"/>
  <c r="D14" i="1"/>
  <c r="C2" i="1"/>
  <c r="C3" i="1"/>
  <c r="C4" i="1"/>
  <c r="C5" i="1"/>
  <c r="C6" i="1"/>
</calcChain>
</file>

<file path=xl/sharedStrings.xml><?xml version="1.0" encoding="utf-8"?>
<sst xmlns="http://schemas.openxmlformats.org/spreadsheetml/2006/main" count="101" uniqueCount="74">
  <si>
    <t>Student Name</t>
  </si>
  <si>
    <t>Marks</t>
  </si>
  <si>
    <t>Result</t>
  </si>
  <si>
    <t>Write a formula to check if the marks in cell  B2 are greater than or equal to 40. If yes, return "Pass", otherwise "Fail"
.</t>
  </si>
  <si>
    <t>Riya</t>
  </si>
  <si>
    <t>Siya</t>
  </si>
  <si>
    <t>Raju</t>
  </si>
  <si>
    <t>For marks in cell B2 (Student Name: "Riya", Marks: 45) -&gt; 
=IF($B2&gt;=40,"Pass","Fail") returns "Pass"</t>
  </si>
  <si>
    <t>Rahul</t>
  </si>
  <si>
    <t>Ram</t>
  </si>
  <si>
    <t>(Q1)</t>
  </si>
  <si>
    <t xml:space="preserve"> A company gives a bonus  if sales are above 40,000 and attendance is greater than or equal to 90%. Write a formula to calculate whether the employee will get a bonus or not.</t>
  </si>
  <si>
    <t>Employee</t>
  </si>
  <si>
    <t>Sales</t>
  </si>
  <si>
    <t>Attendance</t>
  </si>
  <si>
    <t>Bonus?</t>
  </si>
  <si>
    <t>Arjun</t>
  </si>
  <si>
    <t>Simran</t>
  </si>
  <si>
    <t>For the 1st record (Employee: "Arjun", Sales: 55000, Attendance: 95) -&gt; 
=IF(AND($B11&gt;40000,$C11&gt;=90),"Yes","No") returns "Yes"</t>
  </si>
  <si>
    <t>Rohit</t>
  </si>
  <si>
    <t>Anjali</t>
  </si>
  <si>
    <t>(Q2)</t>
  </si>
  <si>
    <t>Grade</t>
  </si>
  <si>
    <t>Write a nested IF formula: If marks in  B2 are ≥ 90 → "A", ≥ 75 → "B", ≥ 50 → "C", otherwise "Fail".</t>
  </si>
  <si>
    <t>Raj</t>
  </si>
  <si>
    <t>Neha</t>
  </si>
  <si>
    <t>Vivek</t>
  </si>
  <si>
    <t>Rani</t>
  </si>
  <si>
    <t>For marks in B2 (Student Name: "Raj", Marks: 85) -&gt;
=IF($B2&gt;=90,"A",IF($B2&gt;=75,"B",IF($B2&gt;=50,"C","Fail"))) returns "B"</t>
  </si>
  <si>
    <t>Sneha</t>
  </si>
  <si>
    <t>(Q3)</t>
  </si>
  <si>
    <t>EmpID</t>
  </si>
  <si>
    <t>Name</t>
  </si>
  <si>
    <t>Dept</t>
  </si>
  <si>
    <t>Find the Department of Employee ID = E103. Also explain which LOOKUP function is used and why?</t>
  </si>
  <si>
    <t>E101</t>
  </si>
  <si>
    <t>IT</t>
  </si>
  <si>
    <t>E102</t>
  </si>
  <si>
    <t>HR</t>
  </si>
  <si>
    <t>E103</t>
  </si>
  <si>
    <t>Roshni</t>
  </si>
  <si>
    <t>Finance</t>
  </si>
  <si>
    <t>Formula used: 
=VLOOKUP(F13,$A$11:$C$14,3,FALSE) -&gt; returns "Finance"</t>
  </si>
  <si>
    <t>E104</t>
  </si>
  <si>
    <t>Sejal</t>
  </si>
  <si>
    <t>(Q4)</t>
  </si>
  <si>
    <t>VLOOKUP() searches for a value in the first column of a data range and returns a corresponding value from a specified column (VLOOKUP() searches from left to right) in the same row - perfect for matching data like employee IDs to departments across datasets.</t>
  </si>
  <si>
    <t>(Q5)</t>
  </si>
  <si>
    <t>SalesAmt</t>
  </si>
  <si>
    <t>Com.Rate</t>
  </si>
  <si>
    <t>A company has set the following commission structure for its sales team:
If a salesperson achieves sales of ₹45,000, use the VLOOKUP function to determine the commission rate applicable.</t>
  </si>
  <si>
    <t>Formula used 
=VLOOKUP(B29,$A$24:$B$27,2,TRUE) -&gt; returns 10%</t>
  </si>
  <si>
    <t>EmpName</t>
  </si>
  <si>
    <t>LeavesTaken</t>
  </si>
  <si>
    <t>LeavesAllowed</t>
  </si>
  <si>
    <t>ExceededAllowedLeaveBalance?</t>
  </si>
  <si>
    <t>Salary</t>
  </si>
  <si>
    <t>Alex</t>
  </si>
  <si>
    <t>Bob</t>
  </si>
  <si>
    <t>E105</t>
  </si>
  <si>
    <t>Anna</t>
  </si>
  <si>
    <t>E106</t>
  </si>
  <si>
    <t>(Q6)</t>
  </si>
  <si>
    <t>The HR department maintains the above leave records of employees.</t>
  </si>
  <si>
    <t>(Q7)</t>
  </si>
  <si>
    <t>The HR department maintains the following leave records of employees:onus or not.
Write an IF function to check whether an employee has Exceeded their allowed leave balance.
If Leaves Taken &gt; Allowed Leaves, display "Exceeded".
Otherwise, display "OK".</t>
  </si>
  <si>
    <t>Find the salary of EmpID = E105 using INDEX-MATCH Function.</t>
  </si>
  <si>
    <t>For the 1st record (EmpName: "Alex", LeavesTaken: 10, LeavesAllowed: 12)
=IF($B2&gt;$D2,"Exceeded","OK") returns "OK"</t>
  </si>
  <si>
    <t>Formula used
=INDEX($L$2:$L$5,MATCH(L11,$K$2:$K$5,0)) -&gt; returns 72000</t>
  </si>
  <si>
    <t xml:space="preserve"> Use the XLOOKUP function to find the Department of the employee with Emp ID = E303.</t>
  </si>
  <si>
    <t>E303</t>
  </si>
  <si>
    <t>E301</t>
  </si>
  <si>
    <t>Formula used
=XLOOKUP(E20,$A$17:$A$20,$B$17:$B$20) -&gt; returns "IT"</t>
  </si>
  <si>
    <t>(Q8)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</si>
</sst>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1" xfId="0" applyFont="1" applyBorder="1"/>
    <xf numFmtId="0" fontId="1" fillId="0" borderId="2" xfId="0" applyFont="1" applyBorder="1"/>
    <xf numFmtId="0" fontId="0" fillId="0" borderId="0" xfId="0" applyAlignment="1"/>
    <xf numFmtId="0" fontId="1" fillId="0" borderId="0" xfId="0" applyFont="1"/>
    <xf numFmtId="0" fontId="0" fillId="0" borderId="3" xfId="0" applyBorder="1"/>
    <xf numFmtId="0" fontId="0" fillId="0" borderId="2" xfId="0" applyNumberFormat="1" applyBorder="1"/>
    <xf numFmtId="0" fontId="0" fillId="0" borderId="1" xfId="0" applyNumberFormat="1" applyBorder="1"/>
    <xf numFmtId="9" fontId="0" fillId="0" borderId="1" xfId="0" applyNumberFormat="1" applyBorder="1"/>
    <xf numFmtId="10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workbookViewId="0">
      <selection activeCell="H15" sqref="H15"/>
    </sheetView>
  </sheetViews>
  <sheetFormatPr defaultRowHeight="15"/>
  <sheetData>
    <row r="1" spans="1:13" ht="15" customHeight="1">
      <c r="A1" s="3" t="s">
        <v>0</v>
      </c>
      <c r="B1" s="4" t="s">
        <v>1</v>
      </c>
      <c r="C1" s="3" t="s">
        <v>2</v>
      </c>
      <c r="F1" s="12" t="s">
        <v>3</v>
      </c>
      <c r="G1" s="12"/>
      <c r="H1" s="12"/>
      <c r="I1" s="12"/>
      <c r="J1" s="12"/>
      <c r="K1" s="12"/>
      <c r="L1" s="12"/>
      <c r="M1" s="12"/>
    </row>
    <row r="2" spans="1:13">
      <c r="A2" s="1" t="s">
        <v>4</v>
      </c>
      <c r="B2" s="2">
        <v>45</v>
      </c>
      <c r="C2" s="1" t="str">
        <f>IF($B2&gt;=40,"Pass","Fail")</f>
        <v>Pass</v>
      </c>
      <c r="F2" s="12"/>
      <c r="G2" s="12"/>
      <c r="H2" s="12"/>
      <c r="I2" s="12"/>
      <c r="J2" s="12"/>
      <c r="K2" s="12"/>
      <c r="L2" s="12"/>
      <c r="M2" s="12"/>
    </row>
    <row r="3" spans="1:13">
      <c r="A3" s="1" t="s">
        <v>5</v>
      </c>
      <c r="B3" s="2">
        <v>72</v>
      </c>
      <c r="C3" s="1" t="str">
        <f t="shared" ref="C3:C6" si="0">IF($B3&gt;=40,"Pass","Fail")</f>
        <v>Pass</v>
      </c>
      <c r="F3" s="12"/>
      <c r="G3" s="12"/>
      <c r="H3" s="12"/>
      <c r="I3" s="12"/>
      <c r="J3" s="12"/>
      <c r="K3" s="12"/>
      <c r="L3" s="12"/>
      <c r="M3" s="12"/>
    </row>
    <row r="4" spans="1:13">
      <c r="A4" s="1" t="s">
        <v>6</v>
      </c>
      <c r="B4" s="2">
        <v>55</v>
      </c>
      <c r="C4" s="1" t="str">
        <f t="shared" si="0"/>
        <v>Pass</v>
      </c>
      <c r="F4" s="12" t="s">
        <v>7</v>
      </c>
      <c r="G4" s="13"/>
      <c r="H4" s="13"/>
      <c r="I4" s="13"/>
      <c r="J4" s="13"/>
      <c r="K4" s="13"/>
      <c r="L4" s="13"/>
      <c r="M4" s="13"/>
    </row>
    <row r="5" spans="1:13">
      <c r="A5" s="1" t="s">
        <v>8</v>
      </c>
      <c r="B5" s="2">
        <v>80</v>
      </c>
      <c r="C5" s="1" t="str">
        <f t="shared" si="0"/>
        <v>Pass</v>
      </c>
      <c r="F5" s="13"/>
      <c r="G5" s="13"/>
      <c r="H5" s="13"/>
      <c r="I5" s="13"/>
      <c r="J5" s="13"/>
      <c r="K5" s="13"/>
      <c r="L5" s="13"/>
      <c r="M5" s="13"/>
    </row>
    <row r="6" spans="1:13">
      <c r="A6" s="1" t="s">
        <v>9</v>
      </c>
      <c r="B6" s="2">
        <v>30</v>
      </c>
      <c r="C6" s="1" t="str">
        <f t="shared" si="0"/>
        <v>Fail</v>
      </c>
    </row>
    <row r="7" spans="1:13">
      <c r="A7" s="6" t="s">
        <v>10</v>
      </c>
    </row>
    <row r="8" spans="1:13">
      <c r="F8" s="12" t="s">
        <v>11</v>
      </c>
      <c r="G8" s="13"/>
      <c r="H8" s="13"/>
      <c r="I8" s="13"/>
      <c r="J8" s="13"/>
      <c r="K8" s="13"/>
      <c r="L8" s="13"/>
      <c r="M8" s="13"/>
    </row>
    <row r="9" spans="1:13">
      <c r="F9" s="13"/>
      <c r="G9" s="13"/>
      <c r="H9" s="13"/>
      <c r="I9" s="13"/>
      <c r="J9" s="13"/>
      <c r="K9" s="13"/>
      <c r="L9" s="13"/>
      <c r="M9" s="13"/>
    </row>
    <row r="10" spans="1:13">
      <c r="A10" s="3" t="s">
        <v>12</v>
      </c>
      <c r="B10" s="3" t="s">
        <v>13</v>
      </c>
      <c r="C10" s="4" t="s">
        <v>14</v>
      </c>
      <c r="D10" s="3" t="s">
        <v>15</v>
      </c>
      <c r="F10" s="13"/>
      <c r="G10" s="13"/>
      <c r="H10" s="13"/>
      <c r="I10" s="13"/>
      <c r="J10" s="13"/>
      <c r="K10" s="13"/>
      <c r="L10" s="13"/>
      <c r="M10" s="13"/>
    </row>
    <row r="11" spans="1:13">
      <c r="A11" s="1" t="s">
        <v>16</v>
      </c>
      <c r="B11" s="9">
        <v>55000</v>
      </c>
      <c r="C11" s="8">
        <v>95</v>
      </c>
      <c r="D11" s="1" t="str">
        <f>IF(AND($B11&gt;40000,$C11&gt;=90),"Yes","No")</f>
        <v>Yes</v>
      </c>
      <c r="F11" s="5"/>
      <c r="G11" s="5"/>
      <c r="H11" s="5"/>
      <c r="I11" s="5"/>
      <c r="J11" s="5"/>
      <c r="K11" s="5"/>
      <c r="L11" s="5"/>
      <c r="M11" s="5"/>
    </row>
    <row r="12" spans="1:13">
      <c r="A12" s="1" t="s">
        <v>17</v>
      </c>
      <c r="B12" s="9">
        <v>65000</v>
      </c>
      <c r="C12" s="8">
        <v>85</v>
      </c>
      <c r="D12" s="1" t="str">
        <f t="shared" ref="D12:D14" si="1">IF(AND($B12&gt;40000,$C12&gt;=90),"Yes","No")</f>
        <v>No</v>
      </c>
      <c r="F12" s="12" t="s">
        <v>18</v>
      </c>
      <c r="G12" s="13"/>
      <c r="H12" s="13"/>
      <c r="I12" s="13"/>
      <c r="J12" s="13"/>
      <c r="K12" s="13"/>
      <c r="L12" s="13"/>
      <c r="M12" s="13"/>
    </row>
    <row r="13" spans="1:13">
      <c r="A13" s="1" t="s">
        <v>19</v>
      </c>
      <c r="B13" s="9">
        <v>30000</v>
      </c>
      <c r="C13" s="8">
        <v>90</v>
      </c>
      <c r="D13" s="1" t="str">
        <f t="shared" si="1"/>
        <v>No</v>
      </c>
      <c r="F13" s="13"/>
      <c r="G13" s="13"/>
      <c r="H13" s="13"/>
      <c r="I13" s="13"/>
      <c r="J13" s="13"/>
      <c r="K13" s="13"/>
      <c r="L13" s="13"/>
      <c r="M13" s="13"/>
    </row>
    <row r="14" spans="1:13">
      <c r="A14" s="1" t="s">
        <v>20</v>
      </c>
      <c r="B14" s="9">
        <v>25000</v>
      </c>
      <c r="C14" s="8">
        <v>65</v>
      </c>
      <c r="D14" s="1" t="str">
        <f t="shared" si="1"/>
        <v>No</v>
      </c>
    </row>
    <row r="15" spans="1:13">
      <c r="A15" s="6" t="s">
        <v>21</v>
      </c>
      <c r="D15" s="7"/>
    </row>
  </sheetData>
  <mergeCells count="4">
    <mergeCell ref="F12:M13"/>
    <mergeCell ref="F1:M3"/>
    <mergeCell ref="F4:M5"/>
    <mergeCell ref="F8:M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2EBE7-2F78-4265-8C01-0B326B7AE5F0}">
  <dimension ref="A1:N30"/>
  <sheetViews>
    <sheetView topLeftCell="A9" workbookViewId="0">
      <selection activeCell="L34" sqref="L34"/>
    </sheetView>
  </sheetViews>
  <sheetFormatPr defaultRowHeight="15"/>
  <sheetData>
    <row r="1" spans="1:14">
      <c r="A1" s="3" t="s">
        <v>0</v>
      </c>
      <c r="B1" s="4" t="s">
        <v>1</v>
      </c>
      <c r="C1" s="3" t="s">
        <v>22</v>
      </c>
      <c r="E1" s="12" t="s">
        <v>23</v>
      </c>
      <c r="F1" s="12"/>
      <c r="G1" s="12"/>
      <c r="H1" s="12"/>
      <c r="I1" s="12"/>
      <c r="J1" s="12"/>
      <c r="K1" s="12"/>
    </row>
    <row r="2" spans="1:14">
      <c r="A2" s="1" t="s">
        <v>24</v>
      </c>
      <c r="B2" s="2">
        <v>85</v>
      </c>
      <c r="C2" s="1" t="str">
        <f>IF($B2&gt;=90,"A",IF($B2&gt;=75,"B",IF($B2&gt;=50,"C","Fail")))</f>
        <v>B</v>
      </c>
      <c r="E2" s="12"/>
      <c r="F2" s="12"/>
      <c r="G2" s="12"/>
      <c r="H2" s="12"/>
      <c r="I2" s="12"/>
      <c r="J2" s="12"/>
      <c r="K2" s="12"/>
    </row>
    <row r="3" spans="1:14">
      <c r="A3" s="1" t="s">
        <v>25</v>
      </c>
      <c r="B3" s="2">
        <v>96</v>
      </c>
      <c r="C3" s="1" t="str">
        <f t="shared" ref="C3:C6" si="0">IF($B3&gt;=90,"A",IF($B3&gt;=75,"B",IF($B3&gt;=50,"C","Fail")))</f>
        <v>A</v>
      </c>
      <c r="E3" s="12"/>
      <c r="F3" s="12"/>
      <c r="G3" s="12"/>
      <c r="H3" s="12"/>
      <c r="I3" s="12"/>
      <c r="J3" s="12"/>
      <c r="K3" s="12"/>
    </row>
    <row r="4" spans="1:14">
      <c r="A4" s="1" t="s">
        <v>26</v>
      </c>
      <c r="B4" s="2">
        <v>57</v>
      </c>
      <c r="C4" s="1" t="str">
        <f t="shared" si="0"/>
        <v>C</v>
      </c>
    </row>
    <row r="5" spans="1:14">
      <c r="A5" s="1" t="s">
        <v>27</v>
      </c>
      <c r="B5" s="2">
        <v>92</v>
      </c>
      <c r="C5" s="1" t="str">
        <f t="shared" si="0"/>
        <v>A</v>
      </c>
      <c r="E5" s="12" t="s">
        <v>28</v>
      </c>
      <c r="F5" s="12"/>
      <c r="G5" s="12"/>
      <c r="H5" s="12"/>
      <c r="I5" s="12"/>
      <c r="J5" s="12"/>
      <c r="K5" s="12"/>
    </row>
    <row r="6" spans="1:14" ht="15" customHeight="1">
      <c r="A6" s="1" t="s">
        <v>29</v>
      </c>
      <c r="B6" s="2">
        <v>75</v>
      </c>
      <c r="C6" s="1" t="str">
        <f t="shared" si="0"/>
        <v>B</v>
      </c>
      <c r="E6" s="12"/>
      <c r="F6" s="12"/>
      <c r="G6" s="12"/>
      <c r="H6" s="12"/>
      <c r="I6" s="12"/>
      <c r="J6" s="12"/>
      <c r="K6" s="12"/>
    </row>
    <row r="7" spans="1:14">
      <c r="A7" s="6" t="s">
        <v>30</v>
      </c>
      <c r="E7" s="12"/>
      <c r="F7" s="12"/>
      <c r="G7" s="12"/>
      <c r="H7" s="12"/>
      <c r="I7" s="12"/>
      <c r="J7" s="12"/>
      <c r="K7" s="12"/>
    </row>
    <row r="10" spans="1:14">
      <c r="A10" s="3" t="s">
        <v>31</v>
      </c>
      <c r="B10" s="3" t="s">
        <v>32</v>
      </c>
      <c r="C10" s="3" t="s">
        <v>33</v>
      </c>
      <c r="E10" s="12" t="s">
        <v>34</v>
      </c>
      <c r="F10" s="12"/>
      <c r="G10" s="12"/>
      <c r="H10" s="12"/>
      <c r="I10" s="12"/>
      <c r="J10" s="12"/>
      <c r="K10" s="12"/>
    </row>
    <row r="11" spans="1:14">
      <c r="A11" s="1" t="s">
        <v>35</v>
      </c>
      <c r="B11" s="1" t="s">
        <v>6</v>
      </c>
      <c r="C11" s="1" t="s">
        <v>36</v>
      </c>
      <c r="E11" s="12"/>
      <c r="F11" s="12"/>
      <c r="G11" s="12"/>
      <c r="H11" s="12"/>
      <c r="I11" s="12"/>
      <c r="J11" s="12"/>
      <c r="K11" s="12"/>
    </row>
    <row r="12" spans="1:14">
      <c r="A12" s="1" t="s">
        <v>37</v>
      </c>
      <c r="B12" s="1" t="s">
        <v>4</v>
      </c>
      <c r="C12" s="1" t="s">
        <v>38</v>
      </c>
    </row>
    <row r="13" spans="1:14">
      <c r="A13" s="1" t="s">
        <v>39</v>
      </c>
      <c r="B13" s="1" t="s">
        <v>40</v>
      </c>
      <c r="C13" s="1" t="s">
        <v>41</v>
      </c>
      <c r="E13" t="s">
        <v>31</v>
      </c>
      <c r="F13" t="s">
        <v>39</v>
      </c>
      <c r="H13" s="12" t="s">
        <v>42</v>
      </c>
      <c r="I13" s="13"/>
      <c r="J13" s="13"/>
      <c r="K13" s="13"/>
      <c r="L13" s="13"/>
      <c r="M13" s="13"/>
      <c r="N13" s="13"/>
    </row>
    <row r="14" spans="1:14">
      <c r="A14" s="1" t="s">
        <v>43</v>
      </c>
      <c r="B14" s="1" t="s">
        <v>44</v>
      </c>
      <c r="C14" s="1" t="s">
        <v>13</v>
      </c>
      <c r="E14" t="s">
        <v>33</v>
      </c>
      <c r="F14" t="str">
        <f>VLOOKUP(F13,$A$11:$C$14,3,FALSE)</f>
        <v>Finance</v>
      </c>
      <c r="H14" s="13"/>
      <c r="I14" s="13"/>
      <c r="J14" s="13"/>
      <c r="K14" s="13"/>
      <c r="L14" s="13"/>
      <c r="M14" s="13"/>
      <c r="N14" s="13"/>
    </row>
    <row r="15" spans="1:14">
      <c r="A15" s="6" t="s">
        <v>45</v>
      </c>
    </row>
    <row r="16" spans="1:14" ht="15" customHeight="1">
      <c r="E16" s="12" t="s">
        <v>46</v>
      </c>
      <c r="F16" s="12"/>
      <c r="G16" s="12"/>
      <c r="H16" s="12"/>
      <c r="I16" s="12"/>
      <c r="J16" s="12"/>
      <c r="K16" s="12"/>
      <c r="L16" s="12"/>
    </row>
    <row r="17" spans="1:12">
      <c r="E17" s="12"/>
      <c r="F17" s="12"/>
      <c r="G17" s="12"/>
      <c r="H17" s="12"/>
      <c r="I17" s="12"/>
      <c r="J17" s="12"/>
      <c r="K17" s="12"/>
      <c r="L17" s="12"/>
    </row>
    <row r="18" spans="1:12">
      <c r="E18" s="12"/>
      <c r="F18" s="12"/>
      <c r="G18" s="12"/>
      <c r="H18" s="12"/>
      <c r="I18" s="12"/>
      <c r="J18" s="12"/>
      <c r="K18" s="12"/>
      <c r="L18" s="12"/>
    </row>
    <row r="19" spans="1:12">
      <c r="E19" s="12"/>
      <c r="F19" s="12"/>
      <c r="G19" s="12"/>
      <c r="H19" s="12"/>
      <c r="I19" s="12"/>
      <c r="J19" s="12"/>
      <c r="K19" s="12"/>
      <c r="L19" s="12"/>
    </row>
    <row r="20" spans="1:12">
      <c r="E20" s="12"/>
      <c r="F20" s="12"/>
      <c r="G20" s="12"/>
      <c r="H20" s="12"/>
      <c r="I20" s="12"/>
      <c r="J20" s="12"/>
      <c r="K20" s="12"/>
      <c r="L20" s="12"/>
    </row>
    <row r="22" spans="1:12">
      <c r="A22" s="6" t="s">
        <v>47</v>
      </c>
    </row>
    <row r="23" spans="1:12" ht="15" customHeight="1">
      <c r="A23" s="1" t="s">
        <v>48</v>
      </c>
      <c r="B23" s="1" t="s">
        <v>49</v>
      </c>
      <c r="E23" s="12" t="s">
        <v>50</v>
      </c>
      <c r="F23" s="12"/>
      <c r="G23" s="12"/>
      <c r="H23" s="12"/>
      <c r="I23" s="12"/>
      <c r="J23" s="12"/>
      <c r="K23" s="12"/>
    </row>
    <row r="24" spans="1:12">
      <c r="A24" s="1">
        <v>0</v>
      </c>
      <c r="B24" s="10">
        <v>0.05</v>
      </c>
      <c r="E24" s="12"/>
      <c r="F24" s="12"/>
      <c r="G24" s="12"/>
      <c r="H24" s="12"/>
      <c r="I24" s="12"/>
      <c r="J24" s="12"/>
      <c r="K24" s="12"/>
    </row>
    <row r="25" spans="1:12">
      <c r="A25" s="1">
        <v>20000</v>
      </c>
      <c r="B25" s="10">
        <v>0.1</v>
      </c>
      <c r="E25" s="12"/>
      <c r="F25" s="12"/>
      <c r="G25" s="12"/>
      <c r="H25" s="12"/>
      <c r="I25" s="12"/>
      <c r="J25" s="12"/>
      <c r="K25" s="12"/>
    </row>
    <row r="26" spans="1:12">
      <c r="A26" s="1">
        <v>50000</v>
      </c>
      <c r="B26" s="10">
        <v>0.15</v>
      </c>
      <c r="E26" s="12"/>
      <c r="F26" s="12"/>
      <c r="G26" s="12"/>
      <c r="H26" s="12"/>
      <c r="I26" s="12"/>
      <c r="J26" s="12"/>
      <c r="K26" s="12"/>
    </row>
    <row r="27" spans="1:12">
      <c r="A27" s="1">
        <v>80000</v>
      </c>
      <c r="B27" s="10">
        <v>0.2</v>
      </c>
      <c r="E27" s="12"/>
      <c r="F27" s="12"/>
      <c r="G27" s="12"/>
      <c r="H27" s="12"/>
      <c r="I27" s="12"/>
      <c r="J27" s="12"/>
      <c r="K27" s="12"/>
    </row>
    <row r="29" spans="1:12">
      <c r="A29" t="s">
        <v>48</v>
      </c>
      <c r="B29">
        <v>45000</v>
      </c>
      <c r="E29" s="12" t="s">
        <v>51</v>
      </c>
      <c r="F29" s="13"/>
      <c r="G29" s="13"/>
      <c r="H29" s="13"/>
      <c r="I29" s="13"/>
      <c r="J29" s="13"/>
      <c r="K29" s="13"/>
      <c r="L29" s="13"/>
    </row>
    <row r="30" spans="1:12">
      <c r="A30" t="s">
        <v>49</v>
      </c>
      <c r="B30" s="11">
        <f>VLOOKUP(B29,$A$24:$B$27,2,TRUE)</f>
        <v>0.1</v>
      </c>
      <c r="E30" s="13"/>
      <c r="F30" s="13"/>
      <c r="G30" s="13"/>
      <c r="H30" s="13"/>
      <c r="I30" s="13"/>
      <c r="J30" s="13"/>
      <c r="K30" s="13"/>
      <c r="L30" s="13"/>
    </row>
  </sheetData>
  <mergeCells count="7">
    <mergeCell ref="E23:K27"/>
    <mergeCell ref="E29:L30"/>
    <mergeCell ref="E5:K7"/>
    <mergeCell ref="E1:K3"/>
    <mergeCell ref="E10:K11"/>
    <mergeCell ref="H13:N14"/>
    <mergeCell ref="E16:L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035F0-E7DB-4116-842B-9F1A93CF7F72}">
  <dimension ref="A1:P22"/>
  <sheetViews>
    <sheetView tabSelected="1" topLeftCell="A4" workbookViewId="0">
      <selection activeCell="L25" sqref="L25"/>
    </sheetView>
  </sheetViews>
  <sheetFormatPr defaultRowHeight="15"/>
  <cols>
    <col min="1" max="1" width="9.85546875" bestFit="1" customWidth="1"/>
  </cols>
  <sheetData>
    <row r="1" spans="1:16">
      <c r="A1" s="3" t="s">
        <v>52</v>
      </c>
      <c r="B1" s="18" t="s">
        <v>53</v>
      </c>
      <c r="C1" s="18"/>
      <c r="D1" s="18" t="s">
        <v>54</v>
      </c>
      <c r="E1" s="19"/>
      <c r="F1" s="16" t="s">
        <v>55</v>
      </c>
      <c r="G1" s="16"/>
      <c r="H1" s="16"/>
      <c r="I1" s="16"/>
      <c r="K1" s="3" t="s">
        <v>31</v>
      </c>
      <c r="L1" s="3" t="s">
        <v>56</v>
      </c>
    </row>
    <row r="2" spans="1:16">
      <c r="A2" s="1" t="s">
        <v>57</v>
      </c>
      <c r="B2" s="14">
        <v>10</v>
      </c>
      <c r="C2" s="15"/>
      <c r="D2" s="20">
        <v>12</v>
      </c>
      <c r="E2" s="14"/>
      <c r="F2" s="17" t="str">
        <f>IF($B2&gt;$D2,"Exceeded","OK")</f>
        <v>OK</v>
      </c>
      <c r="G2" s="17"/>
      <c r="H2" s="17"/>
      <c r="I2" s="17"/>
      <c r="K2" s="1" t="s">
        <v>43</v>
      </c>
      <c r="L2" s="1">
        <v>55000</v>
      </c>
    </row>
    <row r="3" spans="1:16">
      <c r="A3" s="1" t="s">
        <v>58</v>
      </c>
      <c r="B3" s="14">
        <v>10</v>
      </c>
      <c r="C3" s="15"/>
      <c r="D3" s="20">
        <v>15</v>
      </c>
      <c r="E3" s="14"/>
      <c r="F3" s="17" t="str">
        <f t="shared" ref="F3:F4" si="0">IF($B3&gt;$D3,"Exceeded","OK")</f>
        <v>OK</v>
      </c>
      <c r="G3" s="17"/>
      <c r="H3" s="17"/>
      <c r="I3" s="17"/>
      <c r="K3" s="1" t="s">
        <v>59</v>
      </c>
      <c r="L3" s="1">
        <v>72000</v>
      </c>
    </row>
    <row r="4" spans="1:16">
      <c r="A4" s="1" t="s">
        <v>60</v>
      </c>
      <c r="B4" s="14">
        <v>8</v>
      </c>
      <c r="C4" s="15"/>
      <c r="D4" s="20">
        <v>12</v>
      </c>
      <c r="E4" s="14"/>
      <c r="F4" s="17" t="str">
        <f t="shared" si="0"/>
        <v>OK</v>
      </c>
      <c r="G4" s="17"/>
      <c r="H4" s="17"/>
      <c r="I4" s="17"/>
      <c r="K4" s="1" t="s">
        <v>61</v>
      </c>
      <c r="L4" s="1">
        <v>62000</v>
      </c>
    </row>
    <row r="5" spans="1:16">
      <c r="A5" s="6" t="s">
        <v>62</v>
      </c>
      <c r="K5" s="1" t="s">
        <v>37</v>
      </c>
      <c r="L5" s="1">
        <v>41000</v>
      </c>
    </row>
    <row r="6" spans="1:16">
      <c r="A6" s="13" t="s">
        <v>63</v>
      </c>
      <c r="B6" s="13"/>
      <c r="C6" s="13"/>
      <c r="D6" s="13"/>
      <c r="E6" s="13"/>
      <c r="F6" s="13"/>
      <c r="G6" s="13"/>
      <c r="H6" s="13"/>
      <c r="I6" s="13"/>
      <c r="K6" s="6" t="s">
        <v>64</v>
      </c>
    </row>
    <row r="7" spans="1:16">
      <c r="A7" s="12" t="s">
        <v>65</v>
      </c>
      <c r="B7" s="13"/>
      <c r="C7" s="13"/>
      <c r="D7" s="13"/>
      <c r="E7" s="13"/>
      <c r="F7" s="13"/>
      <c r="G7" s="13"/>
      <c r="H7" s="13"/>
      <c r="I7" s="13"/>
    </row>
    <row r="8" spans="1:16">
      <c r="A8" s="13"/>
      <c r="B8" s="13"/>
      <c r="C8" s="13"/>
      <c r="D8" s="13"/>
      <c r="E8" s="13"/>
      <c r="F8" s="13"/>
      <c r="G8" s="13"/>
      <c r="H8" s="13"/>
      <c r="I8" s="13"/>
      <c r="K8" s="13" t="s">
        <v>66</v>
      </c>
      <c r="L8" s="13"/>
      <c r="M8" s="13"/>
      <c r="N8" s="13"/>
      <c r="O8" s="13"/>
      <c r="P8" s="13"/>
    </row>
    <row r="9" spans="1:16">
      <c r="A9" s="13"/>
      <c r="B9" s="13"/>
      <c r="C9" s="13"/>
      <c r="D9" s="13"/>
      <c r="E9" s="13"/>
      <c r="F9" s="13"/>
      <c r="G9" s="13"/>
      <c r="H9" s="13"/>
      <c r="I9" s="13"/>
      <c r="K9" s="13"/>
      <c r="L9" s="13"/>
      <c r="M9" s="13"/>
      <c r="N9" s="13"/>
      <c r="O9" s="13"/>
      <c r="P9" s="13"/>
    </row>
    <row r="10" spans="1:16">
      <c r="A10" s="13"/>
      <c r="B10" s="13"/>
      <c r="C10" s="13"/>
      <c r="D10" s="13"/>
      <c r="E10" s="13"/>
      <c r="F10" s="13"/>
      <c r="G10" s="13"/>
      <c r="H10" s="13"/>
      <c r="I10" s="13"/>
    </row>
    <row r="11" spans="1:16">
      <c r="K11" t="s">
        <v>31</v>
      </c>
      <c r="L11" t="s">
        <v>59</v>
      </c>
    </row>
    <row r="12" spans="1:16">
      <c r="A12" s="12" t="s">
        <v>67</v>
      </c>
      <c r="B12" s="13"/>
      <c r="C12" s="13"/>
      <c r="D12" s="13"/>
      <c r="E12" s="13"/>
      <c r="F12" s="13"/>
      <c r="G12" s="13"/>
      <c r="H12" s="13"/>
      <c r="I12" s="13"/>
      <c r="K12" t="s">
        <v>56</v>
      </c>
      <c r="L12">
        <f>INDEX($L$2:$L$5,MATCH(L11,$K$2:$K$5,0))</f>
        <v>72000</v>
      </c>
    </row>
    <row r="13" spans="1:16">
      <c r="A13" s="13"/>
      <c r="B13" s="13"/>
      <c r="C13" s="13"/>
      <c r="D13" s="13"/>
      <c r="E13" s="13"/>
      <c r="F13" s="13"/>
      <c r="G13" s="13"/>
      <c r="H13" s="13"/>
      <c r="I13" s="13"/>
    </row>
    <row r="14" spans="1:16">
      <c r="K14" s="12" t="s">
        <v>68</v>
      </c>
      <c r="L14" s="13"/>
      <c r="M14" s="13"/>
      <c r="N14" s="13"/>
      <c r="O14" s="13"/>
      <c r="P14" s="13"/>
    </row>
    <row r="15" spans="1:16">
      <c r="K15" s="13"/>
      <c r="L15" s="13"/>
      <c r="M15" s="13"/>
      <c r="N15" s="13"/>
      <c r="O15" s="13"/>
      <c r="P15" s="13"/>
    </row>
    <row r="16" spans="1:16" ht="15" customHeight="1">
      <c r="A16" s="3" t="s">
        <v>31</v>
      </c>
      <c r="B16" s="3" t="s">
        <v>33</v>
      </c>
      <c r="D16" s="12" t="s">
        <v>69</v>
      </c>
      <c r="E16" s="12"/>
      <c r="F16" s="12"/>
      <c r="G16" s="12"/>
      <c r="H16" s="12"/>
      <c r="I16" s="12"/>
    </row>
    <row r="17" spans="1:11">
      <c r="A17" s="1" t="s">
        <v>35</v>
      </c>
      <c r="B17" s="1" t="s">
        <v>38</v>
      </c>
      <c r="D17" s="12"/>
      <c r="E17" s="12"/>
      <c r="F17" s="12"/>
      <c r="G17" s="12"/>
      <c r="H17" s="12"/>
      <c r="I17" s="12"/>
    </row>
    <row r="18" spans="1:11">
      <c r="A18" s="1" t="s">
        <v>70</v>
      </c>
      <c r="B18" s="1" t="s">
        <v>36</v>
      </c>
      <c r="D18" s="12"/>
      <c r="E18" s="12"/>
      <c r="F18" s="12"/>
      <c r="G18" s="12"/>
      <c r="H18" s="12"/>
      <c r="I18" s="12"/>
    </row>
    <row r="19" spans="1:11">
      <c r="A19" s="1" t="s">
        <v>61</v>
      </c>
      <c r="B19" s="1" t="s">
        <v>13</v>
      </c>
    </row>
    <row r="20" spans="1:11" ht="15" customHeight="1">
      <c r="A20" s="1" t="s">
        <v>71</v>
      </c>
      <c r="B20" s="1" t="s">
        <v>41</v>
      </c>
      <c r="D20" t="s">
        <v>31</v>
      </c>
      <c r="E20" t="s">
        <v>70</v>
      </c>
      <c r="G20" s="12" t="s">
        <v>72</v>
      </c>
      <c r="H20" s="12"/>
      <c r="I20" s="12"/>
      <c r="J20" s="12"/>
      <c r="K20" s="12"/>
    </row>
    <row r="21" spans="1:11">
      <c r="A21" s="6" t="s">
        <v>73</v>
      </c>
      <c r="D21" t="s">
        <v>33</v>
      </c>
      <c r="E21" t="str">
        <f>_xlfn.XLOOKUP(E20,$A$17:$A$20,$B$17:$B$20)</f>
        <v>IT</v>
      </c>
      <c r="G21" s="12"/>
      <c r="H21" s="12"/>
      <c r="I21" s="12"/>
      <c r="J21" s="12"/>
      <c r="K21" s="12"/>
    </row>
    <row r="22" spans="1:11">
      <c r="G22" s="12"/>
      <c r="H22" s="12"/>
      <c r="I22" s="12"/>
      <c r="J22" s="12"/>
      <c r="K22" s="12"/>
    </row>
  </sheetData>
  <mergeCells count="19">
    <mergeCell ref="A6:I6"/>
    <mergeCell ref="G20:K22"/>
    <mergeCell ref="B3:C3"/>
    <mergeCell ref="B4:C4"/>
    <mergeCell ref="F1:I1"/>
    <mergeCell ref="F2:I2"/>
    <mergeCell ref="F3:I3"/>
    <mergeCell ref="F4:I4"/>
    <mergeCell ref="D1:E1"/>
    <mergeCell ref="B1:C1"/>
    <mergeCell ref="D2:E2"/>
    <mergeCell ref="D3:E3"/>
    <mergeCell ref="D4:E4"/>
    <mergeCell ref="B2:C2"/>
    <mergeCell ref="A7:I10"/>
    <mergeCell ref="A12:I13"/>
    <mergeCell ref="K8:P9"/>
    <mergeCell ref="K14:P15"/>
    <mergeCell ref="D16:I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2025-12-21T14:52:06Z</dcterms:created>
  <dcterms:modified xsi:type="dcterms:W3CDTF">2025-12-22T00:55:42Z</dcterms:modified>
  <cp:category/>
  <cp:contentStatus/>
</cp:coreProperties>
</file>