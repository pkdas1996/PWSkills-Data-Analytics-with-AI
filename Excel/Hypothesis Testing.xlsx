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7692DF24-5778-480D-82E9-5DD4A87EB449}" xr6:coauthVersionLast="47" xr6:coauthVersionMax="47" xr10:uidLastSave="{00000000-0000-0000-0000-000000000000}"/>
  <bookViews>
    <workbookView xWindow="240" yWindow="105" windowWidth="14805" windowHeight="8010" firstSheet="2" activeTab="1" xr2:uid="{00000000-000D-0000-FFFF-FFFF00000000}"/>
  </bookViews>
  <sheets>
    <sheet name="Q1,2,3,4" sheetId="1" r:id="rId1"/>
    <sheet name="Q5" sheetId="2" r:id="rId2"/>
    <sheet name="Q6,7" sheetId="3" r:id="rId3"/>
    <sheet name="Q8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5" l="1"/>
  <c r="J25" i="5"/>
  <c r="L16" i="5"/>
  <c r="L17" i="5"/>
  <c r="L18" i="5"/>
  <c r="L15" i="5"/>
  <c r="L20" i="5" s="1"/>
  <c r="B18" i="5"/>
  <c r="B17" i="5"/>
  <c r="B16" i="5"/>
  <c r="J25" i="3"/>
  <c r="J26" i="3"/>
  <c r="B22" i="3"/>
  <c r="H19" i="3"/>
  <c r="B26" i="3" s="1"/>
  <c r="D12" i="3"/>
  <c r="D13" i="3"/>
  <c r="D14" i="3"/>
  <c r="D15" i="3"/>
  <c r="D16" i="3"/>
  <c r="D11" i="3"/>
  <c r="G15" i="2"/>
  <c r="F11" i="2"/>
</calcChain>
</file>

<file path=xl/sharedStrings.xml><?xml version="1.0" encoding="utf-8"?>
<sst xmlns="http://schemas.openxmlformats.org/spreadsheetml/2006/main" count="184" uniqueCount="149">
  <si>
    <t>Q1</t>
  </si>
  <si>
    <t>What is a null hypothesis (H₀) and why is it important in hypothesis testing?</t>
  </si>
  <si>
    <t>Null hypothesis: (H₀)</t>
  </si>
  <si>
    <t>A statement that assumes no effect, no difference, or no relationship between variables.</t>
  </si>
  <si>
    <t>States any observed results are due to random chance.</t>
  </si>
  <si>
    <t>Importance:</t>
  </si>
  <si>
    <t>It provides a baseline that we try to disprove using sample data.</t>
  </si>
  <si>
    <t xml:space="preserve">Thus, allowing researchers to gather evidence to either reject the status quo (H₀) or fail to reject it. </t>
  </si>
  <si>
    <t>Q2</t>
  </si>
  <si>
    <t>What does the significance level (α) represent in hypothesis testing?</t>
  </si>
  <si>
    <t>Significance level</t>
  </si>
  <si>
    <t>The maximum probability of making a Type I error (incorrectly rejecting a true H₀).</t>
  </si>
  <si>
    <t>Eg: 0.05 (5%) =&gt; (alpha) there's a 5% risk (or 1 in 20 chance) of incorrectly rejecting a true null hypothesis.</t>
  </si>
  <si>
    <t>It quantifies your willingness to accept a false positive conclusion, such as concluding a drug works when it doesn't.</t>
  </si>
  <si>
    <t>When comparing the p-value (probability of your data given H₀ is true) to alpha; if p &lt; α, you reject H₀.</t>
  </si>
  <si>
    <t>Q3</t>
  </si>
  <si>
    <t>Differentiate between Type I and Type II errors.</t>
  </si>
  <si>
    <t>Type I</t>
  </si>
  <si>
    <t>Rejecting the null hypothesis (H₀) when it is actually true. </t>
  </si>
  <si>
    <t>Eg. A medical test says a person has a disease, but he/ she actually doesn't. </t>
  </si>
  <si>
    <t>Type II</t>
  </si>
  <si>
    <t>Failing to reject the null hypothesis (H₀) when it is actually false. </t>
  </si>
  <si>
    <t>Eg. A production line produces a batch of faulty items, but the quality check system says they meet the standards.</t>
  </si>
  <si>
    <t>Q4</t>
  </si>
  <si>
    <t>Explain the difference between a one-tailed and two-tailed test. Give an example of each.</t>
  </si>
  <si>
    <t>One-tailed</t>
  </si>
  <si>
    <t>Checks for a change in a specific direction (greater than or less than)</t>
  </si>
  <si>
    <t>Eg. Testing if a drug is more effective.</t>
  </si>
  <si>
    <t>Two-tailed</t>
  </si>
  <si>
    <t>Looks for a change in either direction (not equal to)</t>
  </si>
  <si>
    <t>Eg. Testing if a new teaching method changes (either improves or worsens) test scores.</t>
  </si>
  <si>
    <t>Q5</t>
  </si>
  <si>
    <t xml:space="preserve">A company claims that the average time to resolve a customer complaint is 10 minutes. </t>
  </si>
  <si>
    <t>A random sample of 9 complaints gives an average time of 12 minutes and a standard deviation of 3 minutes.</t>
  </si>
  <si>
    <t>At α = 0.05, test the claim.</t>
  </si>
  <si>
    <t>One-Sample t-Test</t>
  </si>
  <si>
    <t>H_0</t>
  </si>
  <si>
    <t>Null</t>
  </si>
  <si>
    <t>mu=10</t>
  </si>
  <si>
    <t>Claim</t>
  </si>
  <si>
    <t>mu</t>
  </si>
  <si>
    <t>H_1</t>
  </si>
  <si>
    <t>Alternate</t>
  </si>
  <si>
    <t>mu != 10</t>
  </si>
  <si>
    <t>Sample</t>
  </si>
  <si>
    <t>x_bar</t>
  </si>
  <si>
    <r>
      <rPr>
        <sz val="11"/>
        <color rgb="FF000000"/>
        <rFont val="Calibri"/>
        <scheme val="minor"/>
      </rPr>
      <t xml:space="preserve">This is a </t>
    </r>
    <r>
      <rPr>
        <b/>
        <sz val="11"/>
        <color rgb="FF000000"/>
        <rFont val="Calibri"/>
        <scheme val="minor"/>
      </rPr>
      <t>two-tailed t-test</t>
    </r>
    <r>
      <rPr>
        <sz val="11"/>
        <color rgb="FF000000"/>
        <rFont val="Calibri"/>
        <scheme val="minor"/>
      </rPr>
      <t>.</t>
    </r>
  </si>
  <si>
    <t>s</t>
  </si>
  <si>
    <r>
      <rPr>
        <sz val="11"/>
        <color rgb="FF000000"/>
        <rFont val="Calibri"/>
        <scheme val="minor"/>
      </rPr>
      <t xml:space="preserve">Also, population std. deviation is unknown and sample size is small (n=9) =&gt; hence, a </t>
    </r>
    <r>
      <rPr>
        <b/>
        <sz val="11"/>
        <color rgb="FF000000"/>
        <rFont val="Calibri"/>
        <scheme val="minor"/>
      </rPr>
      <t>one-sample t test</t>
    </r>
    <r>
      <rPr>
        <sz val="11"/>
        <color rgb="FF000000"/>
        <rFont val="Calibri"/>
        <scheme val="minor"/>
      </rPr>
      <t>.</t>
    </r>
  </si>
  <si>
    <t>n</t>
  </si>
  <si>
    <t>alpha</t>
  </si>
  <si>
    <t>|t|</t>
  </si>
  <si>
    <t>Formula used</t>
  </si>
  <si>
    <t>(t-Statistic)</t>
  </si>
  <si>
    <t>(x_bar-mu)/(s/SQRT(n))</t>
  </si>
  <si>
    <t>Critical Value</t>
  </si>
  <si>
    <t>df</t>
  </si>
  <si>
    <t>Degrees of freedom</t>
  </si>
  <si>
    <t>df = (n-1)</t>
  </si>
  <si>
    <t>For a two-tailed test at alpha=0.05 and df = 8 (from t table)</t>
  </si>
  <si>
    <t>t_critical</t>
  </si>
  <si>
    <t>+/-2.306</t>
  </si>
  <si>
    <t>|t_critical|</t>
  </si>
  <si>
    <t>Decision</t>
  </si>
  <si>
    <t>2 &lt; 2.306 (|t_critical|</t>
  </si>
  <si>
    <t xml:space="preserve">Fail to reject H_0 </t>
  </si>
  <si>
    <t>There is not enough evidence to conclude that the average time is different from 10 minutes.</t>
  </si>
  <si>
    <t>Q6</t>
  </si>
  <si>
    <t>When should you use a Z-test instead of a t-test?</t>
  </si>
  <si>
    <t>Use Z-test when:</t>
  </si>
  <si>
    <t>Population Standard deviation is known</t>
  </si>
  <si>
    <t>Sample Size &gt;= 30</t>
  </si>
  <si>
    <t>Otherwise, use t-test</t>
  </si>
  <si>
    <t>Q7</t>
  </si>
  <si>
    <t>The productivity of 6 employees was measured before and after a training program.</t>
  </si>
  <si>
    <t>Employee</t>
  </si>
  <si>
    <t>Before(B)</t>
  </si>
  <si>
    <t>After(A)</t>
  </si>
  <si>
    <t>A - B</t>
  </si>
  <si>
    <t>At α = 0.05, test if the training improved productivity?</t>
  </si>
  <si>
    <r>
      <rPr>
        <b/>
        <sz val="11"/>
        <color rgb="FF000000"/>
        <rFont val="Calibri"/>
        <scheme val="minor"/>
      </rPr>
      <t xml:space="preserve">Paired t-test </t>
    </r>
    <r>
      <rPr>
        <sz val="11"/>
        <color rgb="FF000000"/>
        <rFont val="Calibri"/>
        <scheme val="minor"/>
      </rPr>
      <t>(Did training improve productivity?)</t>
    </r>
  </si>
  <si>
    <t>Step1</t>
  </si>
  <si>
    <t>Differences</t>
  </si>
  <si>
    <t>Difference</t>
  </si>
  <si>
    <t>(After-Before)</t>
  </si>
  <si>
    <t>Training did not improve productivity</t>
  </si>
  <si>
    <t>Step2</t>
  </si>
  <si>
    <t>Mean Improvement</t>
  </si>
  <si>
    <t>Training improved productivity</t>
  </si>
  <si>
    <t>d_bar</t>
  </si>
  <si>
    <t>Mean difference</t>
  </si>
  <si>
    <t>Formula used =AVERAGE(G16:L16)</t>
  </si>
  <si>
    <t>Step3</t>
  </si>
  <si>
    <t>Standard deviation of differences</t>
  </si>
  <si>
    <t>s_d</t>
  </si>
  <si>
    <t>SD of differences</t>
  </si>
  <si>
    <t>Formula used =ROUND(STDEV.S(G16:L16),3)</t>
  </si>
  <si>
    <t>Step5</t>
  </si>
  <si>
    <t>Decision rule</t>
  </si>
  <si>
    <t>One-tailed test</t>
  </si>
  <si>
    <t>Step4</t>
  </si>
  <si>
    <t>Compute t-statistic</t>
  </si>
  <si>
    <t xml:space="preserve">t </t>
  </si>
  <si>
    <t xml:space="preserve">df </t>
  </si>
  <si>
    <t>(n-1)</t>
  </si>
  <si>
    <t>Formula used = d_bar/(s_d/SQRT(n))</t>
  </si>
  <si>
    <t>Critical t (α = 0.05)</t>
  </si>
  <si>
    <t>(from t table)</t>
  </si>
  <si>
    <t>t = 4.11 &gt; 2.015 (Critical t)</t>
  </si>
  <si>
    <t>Reject H_0</t>
  </si>
  <si>
    <t>Q8</t>
  </si>
  <si>
    <t>A company wants to test if product preference is independent of gender.</t>
  </si>
  <si>
    <t>Gender</t>
  </si>
  <si>
    <t>Product A</t>
  </si>
  <si>
    <t>Product B</t>
  </si>
  <si>
    <t>Total</t>
  </si>
  <si>
    <t>At α = 0.05, test independence?</t>
  </si>
  <si>
    <t>Male</t>
  </si>
  <si>
    <t>Female</t>
  </si>
  <si>
    <t xml:space="preserve">Chi-Square Test of Independence </t>
  </si>
  <si>
    <t>(Is product preference independent of gender?)</t>
  </si>
  <si>
    <t>Hypotheses</t>
  </si>
  <si>
    <t>Product preference is independent of gender.</t>
  </si>
  <si>
    <t>Product preference depends on gender.</t>
  </si>
  <si>
    <t>Expected frequencies</t>
  </si>
  <si>
    <t>Chi-Square Statistic</t>
  </si>
  <si>
    <t>If gender and product =&gt; independent</t>
  </si>
  <si>
    <t>Expected values</t>
  </si>
  <si>
    <t>E</t>
  </si>
  <si>
    <t>O</t>
  </si>
  <si>
    <t>(O-E)^2/E</t>
  </si>
  <si>
    <t>Expected</t>
  </si>
  <si>
    <t>Male-A</t>
  </si>
  <si>
    <t>For Male-A =(D4*B6)/D6</t>
  </si>
  <si>
    <t>Observed</t>
  </si>
  <si>
    <t>Male-B</t>
  </si>
  <si>
    <t xml:space="preserve">Formula used =(rowsum*columnsum)/total </t>
  </si>
  <si>
    <t>Female-A</t>
  </si>
  <si>
    <t>Female-B</t>
  </si>
  <si>
    <t>Observed Table</t>
  </si>
  <si>
    <t>Expected Table</t>
  </si>
  <si>
    <t>Chi_squared</t>
  </si>
  <si>
    <t>Formula used =SUM(L15:L18)</t>
  </si>
  <si>
    <t>Decision Rule</t>
  </si>
  <si>
    <t>Formula used = (r-1)(c-1), r=2,c=2</t>
  </si>
  <si>
    <t>From chi-square table:</t>
  </si>
  <si>
    <t>Chi_critical_squared (α = 0.05, df=1)</t>
  </si>
  <si>
    <t>16.66 (Chi_Squared) &gt; 3.841 (Chi_critical_squared)</t>
  </si>
  <si>
    <t>Preference depends on gender.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</si>
</sst>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charset val="1"/>
    </font>
    <font>
      <sz val="11"/>
      <color rgb="FF242424"/>
      <name val="Consolas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0" fillId="0" borderId="0" xfId="0" applyFont="1"/>
    <xf numFmtId="0" fontId="4" fillId="0" borderId="0" xfId="0" applyFont="1"/>
    <xf numFmtId="0" fontId="5" fillId="0" borderId="0" xfId="0" applyFont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1" fillId="0" borderId="5" xfId="0" applyFont="1" applyBorder="1"/>
    <xf numFmtId="0" fontId="1" fillId="0" borderId="3" xfId="0" applyFont="1" applyBorder="1"/>
    <xf numFmtId="0" fontId="1" fillId="0" borderId="10" xfId="0" applyFont="1" applyBorder="1"/>
    <xf numFmtId="0" fontId="1" fillId="0" borderId="1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1" xfId="0" applyFont="1" applyBorder="1"/>
    <xf numFmtId="0" fontId="1" fillId="0" borderId="7" xfId="0" applyFont="1" applyBorder="1"/>
    <xf numFmtId="0" fontId="1" fillId="0" borderId="12" xfId="0" applyFont="1" applyBorder="1"/>
    <xf numFmtId="0" fontId="1" fillId="0" borderId="9" xfId="0" applyFont="1" applyBorder="1"/>
    <xf numFmtId="0" fontId="0" fillId="0" borderId="5" xfId="0" applyFont="1" applyBorder="1"/>
    <xf numFmtId="0" fontId="0" fillId="0" borderId="13" xfId="0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opLeftCell="A20" workbookViewId="0">
      <selection activeCell="D34" sqref="D34"/>
    </sheetView>
  </sheetViews>
  <sheetFormatPr defaultRowHeight="15"/>
  <sheetData>
    <row r="1" spans="1:3">
      <c r="A1" s="2" t="s">
        <v>0</v>
      </c>
    </row>
    <row r="2" spans="1:3">
      <c r="A2" t="s">
        <v>1</v>
      </c>
    </row>
    <row r="4" spans="1:3">
      <c r="A4" s="2" t="s">
        <v>2</v>
      </c>
      <c r="C4" s="1" t="s">
        <v>3</v>
      </c>
    </row>
    <row r="5" spans="1:3">
      <c r="A5" s="2"/>
      <c r="C5" s="1" t="s">
        <v>4</v>
      </c>
    </row>
    <row r="6" spans="1:3">
      <c r="A6" s="2" t="s">
        <v>5</v>
      </c>
      <c r="C6" t="s">
        <v>6</v>
      </c>
    </row>
    <row r="7" spans="1:3">
      <c r="C7" t="s">
        <v>7</v>
      </c>
    </row>
    <row r="9" spans="1:3">
      <c r="A9" s="2" t="s">
        <v>8</v>
      </c>
    </row>
    <row r="10" spans="1:3">
      <c r="A10" t="s">
        <v>9</v>
      </c>
    </row>
    <row r="12" spans="1:3">
      <c r="A12" s="2" t="s">
        <v>10</v>
      </c>
      <c r="C12" s="4" t="s">
        <v>11</v>
      </c>
    </row>
    <row r="13" spans="1:3">
      <c r="C13" s="4" t="s">
        <v>12</v>
      </c>
    </row>
    <row r="14" spans="1:3">
      <c r="C14" t="s">
        <v>13</v>
      </c>
    </row>
    <row r="15" spans="1:3">
      <c r="C15" t="s">
        <v>14</v>
      </c>
    </row>
    <row r="17" spans="1:3">
      <c r="A17" s="2" t="s">
        <v>15</v>
      </c>
    </row>
    <row r="18" spans="1:3">
      <c r="A18" t="s">
        <v>16</v>
      </c>
    </row>
    <row r="20" spans="1:3">
      <c r="A20" s="2" t="s">
        <v>17</v>
      </c>
      <c r="B20" t="s">
        <v>18</v>
      </c>
    </row>
    <row r="21" spans="1:3">
      <c r="B21" t="s">
        <v>19</v>
      </c>
    </row>
    <row r="22" spans="1:3">
      <c r="A22" s="2" t="s">
        <v>20</v>
      </c>
      <c r="B22" t="s">
        <v>21</v>
      </c>
    </row>
    <row r="23" spans="1:3">
      <c r="B23" t="s">
        <v>22</v>
      </c>
    </row>
    <row r="25" spans="1:3">
      <c r="A25" s="2" t="s">
        <v>23</v>
      </c>
    </row>
    <row r="26" spans="1:3">
      <c r="A26" t="s">
        <v>24</v>
      </c>
    </row>
    <row r="28" spans="1:3">
      <c r="A28" s="2" t="s">
        <v>25</v>
      </c>
      <c r="C28" t="s">
        <v>26</v>
      </c>
    </row>
    <row r="29" spans="1:3">
      <c r="C29" t="s">
        <v>27</v>
      </c>
    </row>
    <row r="30" spans="1:3">
      <c r="A30" s="2" t="s">
        <v>28</v>
      </c>
      <c r="C30" t="s">
        <v>29</v>
      </c>
    </row>
    <row r="31" spans="1:3">
      <c r="C3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E1E4E-668D-43A6-B0FF-2D7B71DC5BE0}">
  <dimension ref="A1:J22"/>
  <sheetViews>
    <sheetView tabSelected="1" workbookViewId="0">
      <selection activeCell="A7" sqref="A7"/>
    </sheetView>
  </sheetViews>
  <sheetFormatPr defaultRowHeight="15"/>
  <sheetData>
    <row r="1" spans="1:9">
      <c r="A1" s="2" t="s">
        <v>31</v>
      </c>
    </row>
    <row r="2" spans="1:9">
      <c r="A2" t="s">
        <v>32</v>
      </c>
    </row>
    <row r="3" spans="1:9">
      <c r="A3" s="5" t="s">
        <v>33</v>
      </c>
    </row>
    <row r="4" spans="1:9">
      <c r="A4" s="5" t="s">
        <v>34</v>
      </c>
    </row>
    <row r="6" spans="1:9">
      <c r="A6" s="2" t="s">
        <v>35</v>
      </c>
      <c r="E6" s="17" t="s">
        <v>36</v>
      </c>
      <c r="F6" s="17" t="s">
        <v>37</v>
      </c>
      <c r="G6" s="17" t="s">
        <v>38</v>
      </c>
    </row>
    <row r="7" spans="1:9">
      <c r="A7" s="28" t="s">
        <v>39</v>
      </c>
      <c r="B7" s="15" t="s">
        <v>40</v>
      </c>
      <c r="C7" s="15">
        <v>10</v>
      </c>
      <c r="E7" s="17" t="s">
        <v>41</v>
      </c>
      <c r="F7" s="17" t="s">
        <v>42</v>
      </c>
      <c r="G7" s="17" t="s">
        <v>43</v>
      </c>
    </row>
    <row r="8" spans="1:9">
      <c r="A8" s="26" t="s">
        <v>44</v>
      </c>
      <c r="B8" s="13" t="s">
        <v>45</v>
      </c>
      <c r="C8" s="27">
        <v>12</v>
      </c>
      <c r="E8" s="1" t="s">
        <v>46</v>
      </c>
    </row>
    <row r="9" spans="1:9">
      <c r="A9" s="4"/>
      <c r="B9" s="13" t="s">
        <v>47</v>
      </c>
      <c r="C9" s="27">
        <v>3</v>
      </c>
      <c r="E9" s="1" t="s">
        <v>48</v>
      </c>
    </row>
    <row r="10" spans="1:9">
      <c r="A10" s="4"/>
      <c r="B10" s="14" t="s">
        <v>49</v>
      </c>
      <c r="C10" s="12">
        <v>9</v>
      </c>
    </row>
    <row r="11" spans="1:9">
      <c r="A11" s="28" t="s">
        <v>50</v>
      </c>
      <c r="B11" s="11">
        <v>0.05</v>
      </c>
      <c r="C11" s="12"/>
      <c r="E11" s="2" t="s">
        <v>51</v>
      </c>
      <c r="F11" s="2">
        <f>(C8-C7)/(C9/SQRT(C10))</f>
        <v>2</v>
      </c>
      <c r="H11" t="s">
        <v>52</v>
      </c>
    </row>
    <row r="12" spans="1:9">
      <c r="E12" s="2" t="s">
        <v>53</v>
      </c>
      <c r="H12" s="6" t="s">
        <v>54</v>
      </c>
    </row>
    <row r="14" spans="1:9">
      <c r="E14" s="2" t="s">
        <v>55</v>
      </c>
    </row>
    <row r="15" spans="1:9">
      <c r="D15" s="4" t="s">
        <v>56</v>
      </c>
      <c r="E15" s="4" t="s">
        <v>57</v>
      </c>
      <c r="G15">
        <f>C10-1</f>
        <v>8</v>
      </c>
      <c r="I15" t="s">
        <v>58</v>
      </c>
    </row>
    <row r="17" spans="5:10">
      <c r="E17" t="s">
        <v>59</v>
      </c>
    </row>
    <row r="18" spans="5:10">
      <c r="E18" t="s">
        <v>60</v>
      </c>
      <c r="F18" t="s">
        <v>61</v>
      </c>
      <c r="H18" s="2" t="s">
        <v>62</v>
      </c>
      <c r="I18" s="2"/>
      <c r="J18" s="2">
        <v>2.306</v>
      </c>
    </row>
    <row r="20" spans="5:10">
      <c r="E20" s="2" t="s">
        <v>63</v>
      </c>
      <c r="F20" t="s">
        <v>51</v>
      </c>
      <c r="G20" t="s">
        <v>64</v>
      </c>
    </row>
    <row r="21" spans="5:10">
      <c r="F21" s="2" t="s">
        <v>65</v>
      </c>
    </row>
    <row r="22" spans="5:10">
      <c r="F22" s="2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D76EC-E30B-4EA2-BBD0-027ADCBBDFCF}">
  <dimension ref="A1:L29"/>
  <sheetViews>
    <sheetView workbookViewId="0">
      <selection activeCell="M26" sqref="M26"/>
    </sheetView>
  </sheetViews>
  <sheetFormatPr defaultRowHeight="15"/>
  <sheetData>
    <row r="1" spans="1:12">
      <c r="A1" s="2" t="s">
        <v>67</v>
      </c>
    </row>
    <row r="2" spans="1:12">
      <c r="A2" t="s">
        <v>68</v>
      </c>
    </row>
    <row r="4" spans="1:12">
      <c r="A4" s="2" t="s">
        <v>69</v>
      </c>
      <c r="C4" t="s">
        <v>70</v>
      </c>
    </row>
    <row r="5" spans="1:12">
      <c r="C5" t="s">
        <v>71</v>
      </c>
    </row>
    <row r="6" spans="1:12">
      <c r="A6" t="s">
        <v>72</v>
      </c>
    </row>
    <row r="8" spans="1:12">
      <c r="A8" s="2" t="s">
        <v>73</v>
      </c>
    </row>
    <row r="9" spans="1:12">
      <c r="A9" t="s">
        <v>74</v>
      </c>
    </row>
    <row r="10" spans="1:12">
      <c r="A10" s="17" t="s">
        <v>75</v>
      </c>
      <c r="B10" s="17" t="s">
        <v>76</v>
      </c>
      <c r="C10" s="17" t="s">
        <v>77</v>
      </c>
      <c r="D10" s="17" t="s">
        <v>78</v>
      </c>
    </row>
    <row r="11" spans="1:12">
      <c r="A11" s="8">
        <v>1</v>
      </c>
      <c r="B11" s="13">
        <v>50</v>
      </c>
      <c r="C11" s="9">
        <v>55</v>
      </c>
      <c r="D11" s="13">
        <f>$C11-$B11</f>
        <v>5</v>
      </c>
      <c r="G11" t="s">
        <v>79</v>
      </c>
    </row>
    <row r="12" spans="1:12">
      <c r="A12" s="8">
        <v>2</v>
      </c>
      <c r="B12" s="13">
        <v>60</v>
      </c>
      <c r="C12" s="9">
        <v>65</v>
      </c>
      <c r="D12" s="13">
        <f t="shared" ref="D12:D16" si="0">$C12-$B12</f>
        <v>5</v>
      </c>
    </row>
    <row r="13" spans="1:12">
      <c r="A13" s="8">
        <v>3</v>
      </c>
      <c r="B13" s="13">
        <v>58</v>
      </c>
      <c r="C13" s="9">
        <v>59</v>
      </c>
      <c r="D13" s="13">
        <f t="shared" si="0"/>
        <v>1</v>
      </c>
      <c r="G13" s="3" t="s">
        <v>80</v>
      </c>
    </row>
    <row r="14" spans="1:12">
      <c r="A14" s="8">
        <v>4</v>
      </c>
      <c r="B14" s="13">
        <v>55</v>
      </c>
      <c r="C14" s="9">
        <v>58</v>
      </c>
      <c r="D14" s="13">
        <f t="shared" si="0"/>
        <v>3</v>
      </c>
      <c r="G14" s="2" t="s">
        <v>81</v>
      </c>
      <c r="H14" s="2" t="s">
        <v>82</v>
      </c>
    </row>
    <row r="15" spans="1:12">
      <c r="A15" s="8">
        <v>5</v>
      </c>
      <c r="B15" s="13">
        <v>62</v>
      </c>
      <c r="C15" s="9">
        <v>63</v>
      </c>
      <c r="D15" s="13">
        <f t="shared" si="0"/>
        <v>1</v>
      </c>
      <c r="G15" t="s">
        <v>83</v>
      </c>
      <c r="H15" t="s">
        <v>84</v>
      </c>
    </row>
    <row r="16" spans="1:12">
      <c r="A16" s="10">
        <v>6</v>
      </c>
      <c r="B16" s="14">
        <v>56</v>
      </c>
      <c r="C16" s="11">
        <v>59</v>
      </c>
      <c r="D16" s="14">
        <f t="shared" si="0"/>
        <v>3</v>
      </c>
      <c r="G16" s="7">
        <v>5</v>
      </c>
      <c r="H16" s="7">
        <v>5</v>
      </c>
      <c r="I16" s="7">
        <v>1</v>
      </c>
      <c r="J16" s="7">
        <v>3</v>
      </c>
      <c r="K16" s="7">
        <v>1</v>
      </c>
      <c r="L16" s="7">
        <v>3</v>
      </c>
    </row>
    <row r="18" spans="1:11">
      <c r="A18" s="17" t="s">
        <v>36</v>
      </c>
      <c r="B18" s="19" t="s">
        <v>85</v>
      </c>
      <c r="C18" s="20"/>
      <c r="D18" s="20"/>
      <c r="E18" s="21"/>
      <c r="G18" s="2" t="s">
        <v>86</v>
      </c>
      <c r="H18" s="2" t="s">
        <v>87</v>
      </c>
    </row>
    <row r="19" spans="1:11">
      <c r="A19" s="16" t="s">
        <v>41</v>
      </c>
      <c r="B19" s="19" t="s">
        <v>88</v>
      </c>
      <c r="C19" s="20"/>
      <c r="D19" s="20"/>
      <c r="E19" s="21"/>
      <c r="G19" t="s">
        <v>89</v>
      </c>
      <c r="H19">
        <f>AVERAGE(G16:L16)</f>
        <v>3</v>
      </c>
      <c r="J19" t="s">
        <v>90</v>
      </c>
    </row>
    <row r="20" spans="1:11">
      <c r="G20" t="s">
        <v>91</v>
      </c>
    </row>
    <row r="21" spans="1:11">
      <c r="A21" s="2" t="s">
        <v>92</v>
      </c>
      <c r="B21" s="2" t="s">
        <v>93</v>
      </c>
    </row>
    <row r="22" spans="1:11">
      <c r="A22" t="s">
        <v>94</v>
      </c>
      <c r="B22">
        <f>ROUND(_xlfn.STDEV.S(G16:L16),3)</f>
        <v>1.7889999999999999</v>
      </c>
      <c r="D22" t="s">
        <v>95</v>
      </c>
    </row>
    <row r="23" spans="1:11">
      <c r="A23" t="s">
        <v>96</v>
      </c>
      <c r="G23" s="2" t="s">
        <v>97</v>
      </c>
      <c r="H23" s="2" t="s">
        <v>98</v>
      </c>
    </row>
    <row r="24" spans="1:11">
      <c r="G24" s="2" t="s">
        <v>99</v>
      </c>
      <c r="I24" t="s">
        <v>50</v>
      </c>
      <c r="J24">
        <v>0.05</v>
      </c>
    </row>
    <row r="25" spans="1:11">
      <c r="A25" s="2" t="s">
        <v>100</v>
      </c>
      <c r="B25" s="2" t="s">
        <v>101</v>
      </c>
      <c r="I25" s="4" t="s">
        <v>49</v>
      </c>
      <c r="J25" s="4">
        <f>COUNT(G16:L16)</f>
        <v>6</v>
      </c>
    </row>
    <row r="26" spans="1:11">
      <c r="A26" s="2" t="s">
        <v>102</v>
      </c>
      <c r="B26" s="2">
        <f>ROUND(H19/(B22/SQRT(J25)),2)</f>
        <v>4.1100000000000003</v>
      </c>
      <c r="I26" s="2" t="s">
        <v>103</v>
      </c>
      <c r="J26" s="2">
        <f>6-1</f>
        <v>5</v>
      </c>
      <c r="K26" t="s">
        <v>104</v>
      </c>
    </row>
    <row r="27" spans="1:11">
      <c r="A27" t="s">
        <v>105</v>
      </c>
      <c r="H27" s="2" t="s">
        <v>106</v>
      </c>
      <c r="J27" s="2">
        <v>2.0150000000000001</v>
      </c>
      <c r="K27" t="s">
        <v>107</v>
      </c>
    </row>
    <row r="28" spans="1:11">
      <c r="G28" s="2" t="s">
        <v>63</v>
      </c>
      <c r="H28" s="4" t="s">
        <v>108</v>
      </c>
    </row>
    <row r="29" spans="1:11">
      <c r="H29" s="2" t="s">
        <v>109</v>
      </c>
      <c r="I29" s="2"/>
      <c r="J29" s="2" t="s">
        <v>88</v>
      </c>
    </row>
  </sheetData>
  <mergeCells count="2">
    <mergeCell ref="B18:E18"/>
    <mergeCell ref="B19:E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1E8F-71AD-466B-8763-99663F41ACAC}">
  <dimension ref="A1:O31"/>
  <sheetViews>
    <sheetView topLeftCell="A5" workbookViewId="0">
      <selection activeCell="M27" sqref="M27"/>
    </sheetView>
  </sheetViews>
  <sheetFormatPr defaultRowHeight="15"/>
  <sheetData>
    <row r="1" spans="1:15">
      <c r="A1" s="2" t="s">
        <v>110</v>
      </c>
    </row>
    <row r="2" spans="1:15">
      <c r="A2" t="s">
        <v>111</v>
      </c>
    </row>
    <row r="3" spans="1:15">
      <c r="A3" s="17" t="s">
        <v>112</v>
      </c>
      <c r="B3" s="17" t="s">
        <v>113</v>
      </c>
      <c r="C3" s="17" t="s">
        <v>114</v>
      </c>
      <c r="D3" s="17" t="s">
        <v>115</v>
      </c>
      <c r="F3" t="s">
        <v>116</v>
      </c>
    </row>
    <row r="4" spans="1:15">
      <c r="A4" s="7" t="s">
        <v>117</v>
      </c>
      <c r="B4" s="7">
        <v>30</v>
      </c>
      <c r="C4" s="7">
        <v>20</v>
      </c>
      <c r="D4" s="7">
        <v>50</v>
      </c>
    </row>
    <row r="5" spans="1:15">
      <c r="A5" s="7" t="s">
        <v>118</v>
      </c>
      <c r="B5" s="7">
        <v>10</v>
      </c>
      <c r="C5" s="7">
        <v>40</v>
      </c>
      <c r="D5" s="7">
        <v>50</v>
      </c>
      <c r="F5" s="2" t="s">
        <v>119</v>
      </c>
    </row>
    <row r="6" spans="1:15">
      <c r="A6" s="17" t="s">
        <v>115</v>
      </c>
      <c r="B6" s="7">
        <v>40</v>
      </c>
      <c r="C6" s="7">
        <v>60</v>
      </c>
      <c r="D6" s="7">
        <v>100</v>
      </c>
      <c r="F6" s="5" t="s">
        <v>120</v>
      </c>
    </row>
    <row r="8" spans="1:15">
      <c r="A8" s="2" t="s">
        <v>81</v>
      </c>
      <c r="B8" s="2" t="s">
        <v>121</v>
      </c>
    </row>
    <row r="9" spans="1:15">
      <c r="A9" s="17" t="s">
        <v>36</v>
      </c>
      <c r="B9" s="18" t="s">
        <v>37</v>
      </c>
      <c r="C9" s="19" t="s">
        <v>122</v>
      </c>
      <c r="D9" s="20"/>
      <c r="E9" s="20"/>
      <c r="F9" s="20"/>
      <c r="G9" s="21"/>
    </row>
    <row r="10" spans="1:15">
      <c r="A10" s="17" t="s">
        <v>41</v>
      </c>
      <c r="B10" s="18" t="s">
        <v>42</v>
      </c>
      <c r="C10" s="19" t="s">
        <v>123</v>
      </c>
      <c r="D10" s="20"/>
      <c r="E10" s="20"/>
      <c r="F10" s="20"/>
      <c r="G10" s="21"/>
    </row>
    <row r="12" spans="1:15">
      <c r="A12" s="2" t="s">
        <v>86</v>
      </c>
      <c r="B12" s="2" t="s">
        <v>124</v>
      </c>
      <c r="I12" s="2" t="s">
        <v>92</v>
      </c>
      <c r="J12" s="2" t="s">
        <v>125</v>
      </c>
    </row>
    <row r="13" spans="1:15">
      <c r="A13" t="s">
        <v>126</v>
      </c>
    </row>
    <row r="14" spans="1:15">
      <c r="A14" s="2" t="s">
        <v>127</v>
      </c>
      <c r="J14" s="17" t="s">
        <v>128</v>
      </c>
      <c r="K14" s="17" t="s">
        <v>129</v>
      </c>
      <c r="L14" s="17" t="s">
        <v>130</v>
      </c>
      <c r="N14" s="24" t="s">
        <v>128</v>
      </c>
      <c r="O14" s="22" t="s">
        <v>131</v>
      </c>
    </row>
    <row r="15" spans="1:15">
      <c r="A15" s="7" t="s">
        <v>132</v>
      </c>
      <c r="B15" s="7">
        <f>(D4*B6)/D6</f>
        <v>20</v>
      </c>
      <c r="C15" t="s">
        <v>133</v>
      </c>
      <c r="I15" s="17" t="s">
        <v>132</v>
      </c>
      <c r="J15" s="15">
        <v>20</v>
      </c>
      <c r="K15" s="7">
        <v>30</v>
      </c>
      <c r="L15" s="7">
        <f>ROUND(((K15-J15)^2)/J15,2)</f>
        <v>5</v>
      </c>
      <c r="N15" s="25" t="s">
        <v>129</v>
      </c>
      <c r="O15" s="23" t="s">
        <v>134</v>
      </c>
    </row>
    <row r="16" spans="1:15">
      <c r="A16" s="7" t="s">
        <v>135</v>
      </c>
      <c r="B16" s="7">
        <f>(D4*C6)/D6</f>
        <v>30</v>
      </c>
      <c r="C16" t="s">
        <v>136</v>
      </c>
      <c r="I16" s="17" t="s">
        <v>135</v>
      </c>
      <c r="J16" s="15">
        <v>30</v>
      </c>
      <c r="K16" s="7">
        <v>20</v>
      </c>
      <c r="L16" s="7">
        <f t="shared" ref="L16:L18" si="0">ROUND(((K16-J16)^2)/J16,2)</f>
        <v>3.33</v>
      </c>
    </row>
    <row r="17" spans="1:13">
      <c r="A17" s="7" t="s">
        <v>137</v>
      </c>
      <c r="B17" s="7">
        <f>(D5*B6)/D6</f>
        <v>20</v>
      </c>
      <c r="I17" s="17" t="s">
        <v>137</v>
      </c>
      <c r="J17" s="15">
        <v>20</v>
      </c>
      <c r="K17" s="7">
        <v>10</v>
      </c>
      <c r="L17" s="7">
        <f t="shared" si="0"/>
        <v>5</v>
      </c>
    </row>
    <row r="18" spans="1:13">
      <c r="A18" s="7" t="s">
        <v>138</v>
      </c>
      <c r="B18" s="7">
        <f>(D5*C6)/D6</f>
        <v>30</v>
      </c>
      <c r="I18" s="17" t="s">
        <v>138</v>
      </c>
      <c r="J18" s="15">
        <v>30</v>
      </c>
      <c r="K18" s="7">
        <v>40</v>
      </c>
      <c r="L18" s="7">
        <f t="shared" si="0"/>
        <v>3.33</v>
      </c>
    </row>
    <row r="20" spans="1:13">
      <c r="A20" s="2" t="s">
        <v>139</v>
      </c>
      <c r="E20" s="2" t="s">
        <v>140</v>
      </c>
      <c r="J20" s="2" t="s">
        <v>141</v>
      </c>
      <c r="K20" s="2"/>
      <c r="L20" s="2">
        <f>SUM(L15:L18)</f>
        <v>16.66</v>
      </c>
    </row>
    <row r="21" spans="1:13">
      <c r="A21" s="17" t="s">
        <v>112</v>
      </c>
      <c r="B21" s="17" t="s">
        <v>113</v>
      </c>
      <c r="C21" s="17" t="s">
        <v>114</v>
      </c>
      <c r="E21" s="17" t="s">
        <v>112</v>
      </c>
      <c r="F21" s="17" t="s">
        <v>113</v>
      </c>
      <c r="G21" s="17" t="s">
        <v>114</v>
      </c>
      <c r="J21" t="s">
        <v>142</v>
      </c>
    </row>
    <row r="22" spans="1:13">
      <c r="A22" s="7" t="s">
        <v>117</v>
      </c>
      <c r="B22" s="7">
        <v>30</v>
      </c>
      <c r="C22" s="7">
        <v>20</v>
      </c>
      <c r="E22" s="7" t="s">
        <v>117</v>
      </c>
      <c r="F22" s="7">
        <v>20</v>
      </c>
      <c r="G22" s="7">
        <v>30</v>
      </c>
    </row>
    <row r="23" spans="1:13">
      <c r="A23" s="7" t="s">
        <v>118</v>
      </c>
      <c r="B23" s="7">
        <v>10</v>
      </c>
      <c r="C23" s="7">
        <v>40</v>
      </c>
      <c r="E23" s="7" t="s">
        <v>118</v>
      </c>
      <c r="F23" s="7">
        <v>20</v>
      </c>
      <c r="G23" s="7">
        <v>30</v>
      </c>
      <c r="I23" s="2" t="s">
        <v>100</v>
      </c>
      <c r="J23" s="2" t="s">
        <v>143</v>
      </c>
    </row>
    <row r="24" spans="1:13">
      <c r="I24" t="s">
        <v>57</v>
      </c>
    </row>
    <row r="25" spans="1:13">
      <c r="I25" t="s">
        <v>56</v>
      </c>
      <c r="J25">
        <f>(2-1)*(2-1)</f>
        <v>1</v>
      </c>
      <c r="L25" t="s">
        <v>144</v>
      </c>
    </row>
    <row r="27" spans="1:13">
      <c r="I27" t="s">
        <v>145</v>
      </c>
    </row>
    <row r="28" spans="1:13">
      <c r="I28" s="2" t="s">
        <v>146</v>
      </c>
      <c r="M28" s="2">
        <v>3.8410000000000002</v>
      </c>
    </row>
    <row r="30" spans="1:13">
      <c r="I30" s="2" t="s">
        <v>63</v>
      </c>
      <c r="J30" s="4" t="s">
        <v>147</v>
      </c>
    </row>
    <row r="31" spans="1:13">
      <c r="J31" s="2" t="s">
        <v>148</v>
      </c>
    </row>
  </sheetData>
  <mergeCells count="2">
    <mergeCell ref="C9:G9"/>
    <mergeCell ref="C10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2026-01-14T22:33:47Z</dcterms:created>
  <dcterms:modified xsi:type="dcterms:W3CDTF">2026-01-15T04:09:24Z</dcterms:modified>
  <cp:category/>
  <cp:contentStatus/>
</cp:coreProperties>
</file>