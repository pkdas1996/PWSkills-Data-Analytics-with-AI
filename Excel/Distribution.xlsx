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skills DA\"/>
    </mc:Choice>
  </mc:AlternateContent>
  <xr:revisionPtr revIDLastSave="0" documentId="8_{0C4525E8-0935-4BC5-9EF9-691383B2C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1" r:id="rId1"/>
    <sheet name="Q2" sheetId="2" r:id="rId2"/>
    <sheet name="Q3,4" sheetId="3" r:id="rId3"/>
    <sheet name="Q5,6,7,8" sheetId="5" r:id="rId4"/>
  </sheets>
  <definedNames>
    <definedName name="_xlchart.v1.0" hidden="1">'Q2'!$B$5:$B$15</definedName>
    <definedName name="_xlchart.v1.1" hidden="1">'Q2'!$A$5:$A$104</definedName>
    <definedName name="_xlchart.v1.2" hidden="1">'Q2'!$B$5:$B$15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C26" i="5"/>
  <c r="C25" i="5"/>
  <c r="D15" i="5"/>
  <c r="A10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5" i="2"/>
  <c r="G9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8" i="1"/>
  <c r="A9" i="1"/>
  <c r="A10" i="1"/>
  <c r="A11" i="1"/>
  <c r="A7" i="1"/>
  <c r="A15" i="3" l="1"/>
  <c r="C11" i="1"/>
</calcChain>
</file>

<file path=xl/sharedStrings.xml><?xml version="1.0" encoding="utf-8"?>
<sst xmlns="http://schemas.openxmlformats.org/spreadsheetml/2006/main" count="87" uniqueCount="83">
  <si>
    <t>Q1</t>
  </si>
  <si>
    <t>Simulate 30 rolls with =RANDBETWEEN(1,6). What is the probability of rolling a 3 exactly 5 times? (Hint: Use 
BINOM.DIST)</t>
  </si>
  <si>
    <t>30 simulated die rolls</t>
  </si>
  <si>
    <t>Out of these 30 die rolls,</t>
  </si>
  <si>
    <t>Each roll has outcomes {1,2,3,4,5,6}</t>
  </si>
  <si>
    <t>For Each roll:</t>
  </si>
  <si>
    <t>Probability of getting a 3 = 1/6 or 0.666</t>
  </si>
  <si>
    <t xml:space="preserve">Modeling using Binomial Distribution: </t>
  </si>
  <si>
    <t>P(X=5)</t>
  </si>
  <si>
    <t>Probability of getting a 3 exactly 5 times</t>
  </si>
  <si>
    <t>[Formula used: = BINOM.DIST(5,30,1/6,FALSE)]</t>
  </si>
  <si>
    <t>The simulation of 30 die rolls demonstrates a single random experiment.</t>
  </si>
  <si>
    <t>Q2</t>
  </si>
  <si>
    <t>Generate 100 values in Excel using the continuous uniform distribution RAND() and plot a histogram. Describe the shape of the distribution.</t>
  </si>
  <si>
    <t>100 random values {0,1}</t>
  </si>
  <si>
    <t xml:space="preserve">A dataset has a mean of 50 and a standard deviation of 5. </t>
  </si>
  <si>
    <t>What percentage of values lie between 45 and 55 if the data follows a normal distribution?</t>
  </si>
  <si>
    <t>Mean</t>
  </si>
  <si>
    <t>Standard deviation</t>
  </si>
  <si>
    <t>Formula used:</t>
  </si>
  <si>
    <t>COUNTIF(A7:A36,3)</t>
  </si>
  <si>
    <t>Alternatively,</t>
  </si>
  <si>
    <t xml:space="preserve">Using the normal distribution formula: </t>
  </si>
  <si>
    <t xml:space="preserve">Formula used </t>
  </si>
  <si>
    <t>% of values between 45 and 55 for a normal distribution = B12-B11</t>
  </si>
  <si>
    <t xml:space="preserve">What is the concept of standardization (z-score), and why is it important in data analysis? </t>
  </si>
  <si>
    <t>Explain the formula and how standardization transforms a dataset.</t>
  </si>
  <si>
    <t>Standardization (Z-Score)</t>
  </si>
  <si>
    <t>z = (x - mu)/ sigma</t>
  </si>
  <si>
    <t>x</t>
  </si>
  <si>
    <t>Value</t>
  </si>
  <si>
    <t>mu</t>
  </si>
  <si>
    <t>sigma</t>
  </si>
  <si>
    <t>How does standardization transform a dateset:</t>
  </si>
  <si>
    <t>Helps identify outliers as points far from the mean (e.g. Z-score &gt; 2 or &lt;-2).</t>
  </si>
  <si>
    <t>What is Kurtosis and their type?</t>
  </si>
  <si>
    <t>Kurtosis measures a distribution's peakedness.</t>
  </si>
  <si>
    <t>Types:</t>
  </si>
  <si>
    <t>Leptokurtic (Positive Excess Kurtosis) - sharp peak, fat tails, high outliers</t>
  </si>
  <si>
    <t>Platykurtic (Negative Excess Kurtosis) - flat peak, thin tails, few outliers</t>
  </si>
  <si>
    <t>Mesokurtic (Zero Excess Kurtosis) - moderate peak &amp; tail, normal distribution baseline</t>
  </si>
  <si>
    <t>Explain why the uniform distribution is a good model for the outcome of rolling a fair die.</t>
  </si>
  <si>
    <t>A standard die has exactly 6 possible outcomes.</t>
  </si>
  <si>
    <t>A fair die implies each of these 6 outcomes/ faces (1,2,3,4,5,6) has the exact same chance of occuring.</t>
  </si>
  <si>
    <t>P(each face occuring)</t>
  </si>
  <si>
    <t>Since there is no bias towards any specific outcome, it is a perfect example of a discrete uniform distribution.</t>
  </si>
  <si>
    <t>Q7</t>
  </si>
  <si>
    <t>Use Excel to compute the probability of getting at least 8 successes in 15 trials with success probability 0.5</t>
  </si>
  <si>
    <t>n</t>
  </si>
  <si>
    <t>number of trials</t>
  </si>
  <si>
    <t>p</t>
  </si>
  <si>
    <t>success probability</t>
  </si>
  <si>
    <t>P(atleast 8 successes) = P(X&gt;=8) = 1 - P(X&lt;8)</t>
  </si>
  <si>
    <t>P(X&lt;8)</t>
  </si>
  <si>
    <t>P(X&gt;=8)</t>
  </si>
  <si>
    <t>Formula used: =BINOM.DIST(7,$B$21,$B$22,TRUE)</t>
  </si>
  <si>
    <t>Formula used: =1-C25</t>
  </si>
  <si>
    <t>How does log transformation help in stabilizing variance and making data more normally distributed?</t>
  </si>
  <si>
    <t>Normalizes and reduces right skew.</t>
  </si>
  <si>
    <t>sample experiment on no. of times the no. 3 appeared across 30 trials</t>
  </si>
  <si>
    <t>Q3</t>
  </si>
  <si>
    <t>Q4</t>
  </si>
  <si>
    <t>Q5</t>
  </si>
  <si>
    <t>Q6</t>
  </si>
  <si>
    <t>Q8</t>
  </si>
  <si>
    <t>While the binomial distribution provides the theoretical probability.</t>
  </si>
  <si>
    <t>The experimental results approach theoretical expectations as the number of trials increases.</t>
  </si>
  <si>
    <r>
      <rPr>
        <b/>
        <sz val="11"/>
        <color theme="1"/>
        <rFont val="Calibri"/>
        <family val="2"/>
        <scheme val="minor"/>
      </rPr>
      <t>Shape of Distribution:</t>
    </r>
    <r>
      <rPr>
        <sz val="11"/>
        <color theme="1"/>
        <rFont val="Calibri"/>
        <family val="2"/>
        <scheme val="minor"/>
      </rPr>
      <t xml:space="preserve"> Apporximately uniform (flat); The data is spread fairly evenly across the entire range from 0 to 1.</t>
    </r>
  </si>
  <si>
    <t>If we increase the range of this random distribution, the histogram resembles to a greater extent a continuous uniform distribution.</t>
  </si>
  <si>
    <t>From empirical rule: mu +/- 1 sigma =&gt; (45,55)</t>
  </si>
  <si>
    <t>NORM.DIST($A11,$E$5,$E$6,TRUE)</t>
  </si>
  <si>
    <t>NORM.DIST($A12,$E$5,$E$6,TRUE)</t>
  </si>
  <si>
    <t>It transforms data to a common scale, centering them at mean = 0 with unit variance (std dev 1).</t>
  </si>
  <si>
    <t>Centers data at 0, compresses spread to 1 - allows comparison across different scales.</t>
  </si>
  <si>
    <t>Z-score</t>
  </si>
  <si>
    <t>Measures how many standard deviations it lies above/ below mean.</t>
  </si>
  <si>
    <t>Indicates relative position of a data point in relation to mean/average.</t>
  </si>
  <si>
    <t>In machine learning, prevents features with larger scales from dominating and unfairly influencing machine learning models.</t>
  </si>
  <si>
    <t>Many algorithms like K-Means, SVM, PCA work more accurately with standardized data.</t>
  </si>
  <si>
    <t>Equal probability for every outcome.</t>
  </si>
  <si>
    <t>Transforms exponential growth into linear patterns - making it more effective for linear models.</t>
  </si>
  <si>
    <t>Stabilizes variance by compressing extreme large values, pulling them closer to mean and reducing the spread.</t>
  </si>
  <si>
    <t>Makes distribution more symmetric and closer to normal. (statistical tests that require normality like t-test, ANOVA, regression)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</si>
</sst>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1" applyFont="1"/>
    <xf numFmtId="0" fontId="0" fillId="0" borderId="0" xfId="0" applyAlignment="1"/>
    <xf numFmtId="0" fontId="0" fillId="0" borderId="0" xfId="0" applyNumberFormat="1"/>
    <xf numFmtId="2" fontId="0" fillId="0" borderId="0" xfId="0" applyNumberFormat="1"/>
    <xf numFmtId="9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RAND() - Histogram of 100 random values (0,1)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RAND() - Histogram of 100 random values (0,1)</a:t>
          </a:r>
        </a:p>
      </cx:txPr>
    </cx:title>
    <cx:plotArea>
      <cx:plotAreaRegion>
        <cx:series layoutId="clusteredColumn" uniqueId="{00000000-5C84-473E-9D73-8FCC3D5AFC05}">
          <cx:dataId val="0"/>
          <cx:layoutPr>
            <cx:binning intervalClosed="r" underflow="auto" overflow="1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Bins (length 0.2)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Bins (length 0.2)</a:t>
              </a:r>
            </a:p>
          </cx:txPr>
        </cx:title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20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5</xdr:row>
      <xdr:rowOff>95250</xdr:rowOff>
    </xdr:from>
    <xdr:to>
      <xdr:col>16</xdr:col>
      <xdr:colOff>142875</xdr:colOff>
      <xdr:row>23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171093-8F51-1176-F4B1-FDD59EB61E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5925" y="1009650"/>
              <a:ext cx="8210550" cy="327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114" workbookViewId="0">
      <selection activeCell="K17" sqref="K17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s="1" t="s">
        <v>2</v>
      </c>
      <c r="F4" t="s">
        <v>3</v>
      </c>
    </row>
    <row r="5" spans="1:7" x14ac:dyDescent="0.3">
      <c r="A5" t="s">
        <v>4</v>
      </c>
      <c r="F5" t="s">
        <v>5</v>
      </c>
    </row>
    <row r="6" spans="1:7" x14ac:dyDescent="0.3">
      <c r="F6" t="s">
        <v>6</v>
      </c>
    </row>
    <row r="7" spans="1:7" x14ac:dyDescent="0.3">
      <c r="A7">
        <f ca="1">RANDBETWEEN(1,6)</f>
        <v>2</v>
      </c>
      <c r="C7" s="3" t="s">
        <v>59</v>
      </c>
      <c r="D7" s="3"/>
      <c r="E7" s="2"/>
    </row>
    <row r="8" spans="1:7" x14ac:dyDescent="0.3">
      <c r="A8">
        <f t="shared" ref="A8:A36" ca="1" si="0">RANDBETWEEN(1,6)</f>
        <v>5</v>
      </c>
      <c r="C8" s="3"/>
      <c r="D8" s="3"/>
      <c r="E8" s="2"/>
      <c r="F8" t="s">
        <v>7</v>
      </c>
    </row>
    <row r="9" spans="1:7" x14ac:dyDescent="0.3">
      <c r="A9">
        <f t="shared" ca="1" si="0"/>
        <v>4</v>
      </c>
      <c r="C9" s="3"/>
      <c r="D9" s="3"/>
      <c r="E9" s="2"/>
      <c r="F9" s="1" t="s">
        <v>8</v>
      </c>
      <c r="G9" s="1">
        <f>_xlfn.BINOM.DIST(5,30,1/6,FALSE)</f>
        <v>0.19210813105163416</v>
      </c>
    </row>
    <row r="10" spans="1:7" x14ac:dyDescent="0.3">
      <c r="A10">
        <f t="shared" ca="1" si="0"/>
        <v>6</v>
      </c>
      <c r="C10" s="3"/>
      <c r="D10" s="3"/>
      <c r="E10" s="2"/>
      <c r="F10" t="s">
        <v>9</v>
      </c>
    </row>
    <row r="11" spans="1:7" x14ac:dyDescent="0.3">
      <c r="A11">
        <f t="shared" ca="1" si="0"/>
        <v>2</v>
      </c>
      <c r="C11" s="4">
        <f ca="1">COUNTIF(A7:A36,3)</f>
        <v>5</v>
      </c>
      <c r="D11" s="5"/>
      <c r="F11" t="s">
        <v>10</v>
      </c>
    </row>
    <row r="12" spans="1:7" x14ac:dyDescent="0.3">
      <c r="A12">
        <f t="shared" ca="1" si="0"/>
        <v>5</v>
      </c>
      <c r="C12" t="s">
        <v>19</v>
      </c>
    </row>
    <row r="13" spans="1:7" x14ac:dyDescent="0.3">
      <c r="A13">
        <f t="shared" ca="1" si="0"/>
        <v>3</v>
      </c>
      <c r="C13" t="s">
        <v>20</v>
      </c>
      <c r="F13" t="s">
        <v>11</v>
      </c>
    </row>
    <row r="14" spans="1:7" x14ac:dyDescent="0.3">
      <c r="A14">
        <f t="shared" ca="1" si="0"/>
        <v>1</v>
      </c>
      <c r="F14" t="s">
        <v>65</v>
      </c>
    </row>
    <row r="15" spans="1:7" x14ac:dyDescent="0.3">
      <c r="A15">
        <f t="shared" ca="1" si="0"/>
        <v>3</v>
      </c>
      <c r="F15" t="s">
        <v>66</v>
      </c>
    </row>
    <row r="16" spans="1:7" x14ac:dyDescent="0.3">
      <c r="A16">
        <f t="shared" ca="1" si="0"/>
        <v>5</v>
      </c>
    </row>
    <row r="17" spans="1:1" x14ac:dyDescent="0.3">
      <c r="A17">
        <f t="shared" ca="1" si="0"/>
        <v>2</v>
      </c>
    </row>
    <row r="18" spans="1:1" x14ac:dyDescent="0.3">
      <c r="A18">
        <f t="shared" ca="1" si="0"/>
        <v>1</v>
      </c>
    </row>
    <row r="19" spans="1:1" x14ac:dyDescent="0.3">
      <c r="A19">
        <f t="shared" ca="1" si="0"/>
        <v>4</v>
      </c>
    </row>
    <row r="20" spans="1:1" x14ac:dyDescent="0.3">
      <c r="A20">
        <f t="shared" ca="1" si="0"/>
        <v>1</v>
      </c>
    </row>
    <row r="21" spans="1:1" x14ac:dyDescent="0.3">
      <c r="A21">
        <f t="shared" ca="1" si="0"/>
        <v>3</v>
      </c>
    </row>
    <row r="22" spans="1:1" x14ac:dyDescent="0.3">
      <c r="A22">
        <f t="shared" ca="1" si="0"/>
        <v>5</v>
      </c>
    </row>
    <row r="23" spans="1:1" x14ac:dyDescent="0.3">
      <c r="A23">
        <f t="shared" ca="1" si="0"/>
        <v>2</v>
      </c>
    </row>
    <row r="24" spans="1:1" x14ac:dyDescent="0.3">
      <c r="A24">
        <f t="shared" ca="1" si="0"/>
        <v>1</v>
      </c>
    </row>
    <row r="25" spans="1:1" x14ac:dyDescent="0.3">
      <c r="A25">
        <f t="shared" ca="1" si="0"/>
        <v>1</v>
      </c>
    </row>
    <row r="26" spans="1:1" x14ac:dyDescent="0.3">
      <c r="A26">
        <f t="shared" ca="1" si="0"/>
        <v>3</v>
      </c>
    </row>
    <row r="27" spans="1:1" x14ac:dyDescent="0.3">
      <c r="A27">
        <f t="shared" ca="1" si="0"/>
        <v>2</v>
      </c>
    </row>
    <row r="28" spans="1:1" x14ac:dyDescent="0.3">
      <c r="A28">
        <f t="shared" ca="1" si="0"/>
        <v>6</v>
      </c>
    </row>
    <row r="29" spans="1:1" x14ac:dyDescent="0.3">
      <c r="A29">
        <f t="shared" ca="1" si="0"/>
        <v>4</v>
      </c>
    </row>
    <row r="30" spans="1:1" x14ac:dyDescent="0.3">
      <c r="A30">
        <f t="shared" ca="1" si="0"/>
        <v>3</v>
      </c>
    </row>
    <row r="31" spans="1:1" x14ac:dyDescent="0.3">
      <c r="A31">
        <f t="shared" ca="1" si="0"/>
        <v>5</v>
      </c>
    </row>
    <row r="32" spans="1:1" x14ac:dyDescent="0.3">
      <c r="A32">
        <f t="shared" ca="1" si="0"/>
        <v>6</v>
      </c>
    </row>
    <row r="33" spans="1:1" x14ac:dyDescent="0.3">
      <c r="A33">
        <f t="shared" ca="1" si="0"/>
        <v>5</v>
      </c>
    </row>
    <row r="34" spans="1:1" x14ac:dyDescent="0.3">
      <c r="A34">
        <f t="shared" ca="1" si="0"/>
        <v>5</v>
      </c>
    </row>
    <row r="35" spans="1:1" x14ac:dyDescent="0.3">
      <c r="A35">
        <f t="shared" ca="1" si="0"/>
        <v>4</v>
      </c>
    </row>
    <row r="36" spans="1:1" x14ac:dyDescent="0.3">
      <c r="A36">
        <f t="shared" ca="1" si="0"/>
        <v>1</v>
      </c>
    </row>
  </sheetData>
  <mergeCells count="2">
    <mergeCell ref="C7:D10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40FE-E6E7-4973-B99B-8932BB1FE4CE}">
  <dimension ref="A1:E104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12</v>
      </c>
    </row>
    <row r="2" spans="1:5" x14ac:dyDescent="0.3">
      <c r="A2" t="s">
        <v>13</v>
      </c>
    </row>
    <row r="4" spans="1:5" x14ac:dyDescent="0.3">
      <c r="A4" s="1" t="s">
        <v>14</v>
      </c>
      <c r="E4" t="s">
        <v>67</v>
      </c>
    </row>
    <row r="5" spans="1:5" x14ac:dyDescent="0.3">
      <c r="A5">
        <f ca="1">RAND()</f>
        <v>0.57931958441717324</v>
      </c>
      <c r="E5" t="s">
        <v>68</v>
      </c>
    </row>
    <row r="6" spans="1:5" x14ac:dyDescent="0.3">
      <c r="A6">
        <f t="shared" ref="A6:A69" ca="1" si="0">RAND()</f>
        <v>0.68710979906684566</v>
      </c>
    </row>
    <row r="7" spans="1:5" x14ac:dyDescent="0.3">
      <c r="A7">
        <f t="shared" ca="1" si="0"/>
        <v>0.95174957998898468</v>
      </c>
    </row>
    <row r="8" spans="1:5" x14ac:dyDescent="0.3">
      <c r="A8">
        <f t="shared" ca="1" si="0"/>
        <v>0.41112147823690481</v>
      </c>
    </row>
    <row r="9" spans="1:5" x14ac:dyDescent="0.3">
      <c r="A9">
        <f t="shared" ca="1" si="0"/>
        <v>0.93083921796379709</v>
      </c>
    </row>
    <row r="10" spans="1:5" x14ac:dyDescent="0.3">
      <c r="A10">
        <f t="shared" ca="1" si="0"/>
        <v>0.79215532977884451</v>
      </c>
    </row>
    <row r="11" spans="1:5" x14ac:dyDescent="0.3">
      <c r="A11">
        <f t="shared" ca="1" si="0"/>
        <v>0.89364648008610659</v>
      </c>
    </row>
    <row r="12" spans="1:5" x14ac:dyDescent="0.3">
      <c r="A12">
        <f t="shared" ca="1" si="0"/>
        <v>0.37643708572408041</v>
      </c>
    </row>
    <row r="13" spans="1:5" x14ac:dyDescent="0.3">
      <c r="A13">
        <f t="shared" ca="1" si="0"/>
        <v>0.91937264486205683</v>
      </c>
    </row>
    <row r="14" spans="1:5" x14ac:dyDescent="0.3">
      <c r="A14">
        <f t="shared" ca="1" si="0"/>
        <v>0.57962188414637417</v>
      </c>
    </row>
    <row r="15" spans="1:5" x14ac:dyDescent="0.3">
      <c r="A15">
        <f t="shared" ca="1" si="0"/>
        <v>0.91694212750092186</v>
      </c>
    </row>
    <row r="16" spans="1:5" x14ac:dyDescent="0.3">
      <c r="A16">
        <f t="shared" ca="1" si="0"/>
        <v>0.35299207079716377</v>
      </c>
    </row>
    <row r="17" spans="1:1" x14ac:dyDescent="0.3">
      <c r="A17">
        <f t="shared" ca="1" si="0"/>
        <v>0.2899046515136311</v>
      </c>
    </row>
    <row r="18" spans="1:1" x14ac:dyDescent="0.3">
      <c r="A18">
        <f t="shared" ca="1" si="0"/>
        <v>0.80663749898530512</v>
      </c>
    </row>
    <row r="19" spans="1:1" x14ac:dyDescent="0.3">
      <c r="A19">
        <f t="shared" ca="1" si="0"/>
        <v>0.54510968568615381</v>
      </c>
    </row>
    <row r="20" spans="1:1" x14ac:dyDescent="0.3">
      <c r="A20">
        <f t="shared" ca="1" si="0"/>
        <v>0.45796330224793258</v>
      </c>
    </row>
    <row r="21" spans="1:1" x14ac:dyDescent="0.3">
      <c r="A21">
        <f t="shared" ca="1" si="0"/>
        <v>0.4237910083562535</v>
      </c>
    </row>
    <row r="22" spans="1:1" x14ac:dyDescent="0.3">
      <c r="A22">
        <f t="shared" ca="1" si="0"/>
        <v>0.82246404369377379</v>
      </c>
    </row>
    <row r="23" spans="1:1" x14ac:dyDescent="0.3">
      <c r="A23">
        <f t="shared" ca="1" si="0"/>
        <v>0.96740386827462643</v>
      </c>
    </row>
    <row r="24" spans="1:1" x14ac:dyDescent="0.3">
      <c r="A24">
        <f t="shared" ca="1" si="0"/>
        <v>0.94894900310595043</v>
      </c>
    </row>
    <row r="25" spans="1:1" x14ac:dyDescent="0.3">
      <c r="A25">
        <f t="shared" ca="1" si="0"/>
        <v>0.35072713714709824</v>
      </c>
    </row>
    <row r="26" spans="1:1" x14ac:dyDescent="0.3">
      <c r="A26">
        <f t="shared" ca="1" si="0"/>
        <v>0.62331173055771161</v>
      </c>
    </row>
    <row r="27" spans="1:1" x14ac:dyDescent="0.3">
      <c r="A27">
        <f t="shared" ca="1" si="0"/>
        <v>0.24709136209481652</v>
      </c>
    </row>
    <row r="28" spans="1:1" x14ac:dyDescent="0.3">
      <c r="A28">
        <f t="shared" ca="1" si="0"/>
        <v>0.38246694479916021</v>
      </c>
    </row>
    <row r="29" spans="1:1" x14ac:dyDescent="0.3">
      <c r="A29">
        <f t="shared" ca="1" si="0"/>
        <v>0.58768271578434383</v>
      </c>
    </row>
    <row r="30" spans="1:1" x14ac:dyDescent="0.3">
      <c r="A30">
        <f t="shared" ca="1" si="0"/>
        <v>8.9218863184477137E-2</v>
      </c>
    </row>
    <row r="31" spans="1:1" x14ac:dyDescent="0.3">
      <c r="A31">
        <f t="shared" ca="1" si="0"/>
        <v>0.59059425238970431</v>
      </c>
    </row>
    <row r="32" spans="1:1" x14ac:dyDescent="0.3">
      <c r="A32">
        <f t="shared" ca="1" si="0"/>
        <v>0.45926570234207709</v>
      </c>
    </row>
    <row r="33" spans="1:1" x14ac:dyDescent="0.3">
      <c r="A33">
        <f t="shared" ca="1" si="0"/>
        <v>0.40267083863166986</v>
      </c>
    </row>
    <row r="34" spans="1:1" x14ac:dyDescent="0.3">
      <c r="A34">
        <f t="shared" ca="1" si="0"/>
        <v>0.17284081558092379</v>
      </c>
    </row>
    <row r="35" spans="1:1" x14ac:dyDescent="0.3">
      <c r="A35">
        <f t="shared" ca="1" si="0"/>
        <v>0.20379927997343805</v>
      </c>
    </row>
    <row r="36" spans="1:1" x14ac:dyDescent="0.3">
      <c r="A36">
        <f t="shared" ca="1" si="0"/>
        <v>0.27548471567191257</v>
      </c>
    </row>
    <row r="37" spans="1:1" x14ac:dyDescent="0.3">
      <c r="A37">
        <f t="shared" ca="1" si="0"/>
        <v>0.83846422638148943</v>
      </c>
    </row>
    <row r="38" spans="1:1" x14ac:dyDescent="0.3">
      <c r="A38">
        <f t="shared" ca="1" si="0"/>
        <v>0.79588629230219476</v>
      </c>
    </row>
    <row r="39" spans="1:1" x14ac:dyDescent="0.3">
      <c r="A39">
        <f t="shared" ca="1" si="0"/>
        <v>0.94509377441704046</v>
      </c>
    </row>
    <row r="40" spans="1:1" x14ac:dyDescent="0.3">
      <c r="A40">
        <f t="shared" ca="1" si="0"/>
        <v>0.8084202673484141</v>
      </c>
    </row>
    <row r="41" spans="1:1" x14ac:dyDescent="0.3">
      <c r="A41">
        <f t="shared" ca="1" si="0"/>
        <v>0.85474379166344994</v>
      </c>
    </row>
    <row r="42" spans="1:1" x14ac:dyDescent="0.3">
      <c r="A42">
        <f t="shared" ca="1" si="0"/>
        <v>0.48524982736940059</v>
      </c>
    </row>
    <row r="43" spans="1:1" x14ac:dyDescent="0.3">
      <c r="A43">
        <f t="shared" ca="1" si="0"/>
        <v>0.63188229264185058</v>
      </c>
    </row>
    <row r="44" spans="1:1" x14ac:dyDescent="0.3">
      <c r="A44">
        <f t="shared" ca="1" si="0"/>
        <v>0.48547899573208353</v>
      </c>
    </row>
    <row r="45" spans="1:1" x14ac:dyDescent="0.3">
      <c r="A45">
        <f t="shared" ca="1" si="0"/>
        <v>0.16965400447703427</v>
      </c>
    </row>
    <row r="46" spans="1:1" x14ac:dyDescent="0.3">
      <c r="A46">
        <f t="shared" ca="1" si="0"/>
        <v>0.27170707073732381</v>
      </c>
    </row>
    <row r="47" spans="1:1" x14ac:dyDescent="0.3">
      <c r="A47">
        <f t="shared" ca="1" si="0"/>
        <v>0.98587137485629439</v>
      </c>
    </row>
    <row r="48" spans="1:1" x14ac:dyDescent="0.3">
      <c r="A48">
        <f t="shared" ca="1" si="0"/>
        <v>0.15242330891568223</v>
      </c>
    </row>
    <row r="49" spans="1:1" x14ac:dyDescent="0.3">
      <c r="A49">
        <f t="shared" ca="1" si="0"/>
        <v>0.32302331539743057</v>
      </c>
    </row>
    <row r="50" spans="1:1" x14ac:dyDescent="0.3">
      <c r="A50">
        <f t="shared" ca="1" si="0"/>
        <v>0.90336627716412676</v>
      </c>
    </row>
    <row r="51" spans="1:1" x14ac:dyDescent="0.3">
      <c r="A51">
        <f t="shared" ca="1" si="0"/>
        <v>0.27751710992971856</v>
      </c>
    </row>
    <row r="52" spans="1:1" x14ac:dyDescent="0.3">
      <c r="A52">
        <f t="shared" ca="1" si="0"/>
        <v>6.085266810688672E-2</v>
      </c>
    </row>
    <row r="53" spans="1:1" x14ac:dyDescent="0.3">
      <c r="A53">
        <f t="shared" ca="1" si="0"/>
        <v>0.32610072338499008</v>
      </c>
    </row>
    <row r="54" spans="1:1" x14ac:dyDescent="0.3">
      <c r="A54">
        <f t="shared" ca="1" si="0"/>
        <v>0.72928129932212593</v>
      </c>
    </row>
    <row r="55" spans="1:1" x14ac:dyDescent="0.3">
      <c r="A55">
        <f t="shared" ca="1" si="0"/>
        <v>0.71249277423784751</v>
      </c>
    </row>
    <row r="56" spans="1:1" x14ac:dyDescent="0.3">
      <c r="A56">
        <f t="shared" ca="1" si="0"/>
        <v>0.42890971398488587</v>
      </c>
    </row>
    <row r="57" spans="1:1" x14ac:dyDescent="0.3">
      <c r="A57">
        <f t="shared" ca="1" si="0"/>
        <v>0.10514890072275784</v>
      </c>
    </row>
    <row r="58" spans="1:1" x14ac:dyDescent="0.3">
      <c r="A58">
        <f t="shared" ca="1" si="0"/>
        <v>0.31474506689811599</v>
      </c>
    </row>
    <row r="59" spans="1:1" x14ac:dyDescent="0.3">
      <c r="A59">
        <f t="shared" ca="1" si="0"/>
        <v>0.22095796659872557</v>
      </c>
    </row>
    <row r="60" spans="1:1" x14ac:dyDescent="0.3">
      <c r="A60">
        <f t="shared" ca="1" si="0"/>
        <v>0.15507730733718861</v>
      </c>
    </row>
    <row r="61" spans="1:1" x14ac:dyDescent="0.3">
      <c r="A61">
        <f t="shared" ca="1" si="0"/>
        <v>0.20848291393372054</v>
      </c>
    </row>
    <row r="62" spans="1:1" x14ac:dyDescent="0.3">
      <c r="A62">
        <f t="shared" ca="1" si="0"/>
        <v>0.22747833194571976</v>
      </c>
    </row>
    <row r="63" spans="1:1" x14ac:dyDescent="0.3">
      <c r="A63">
        <f t="shared" ca="1" si="0"/>
        <v>0.19461848302099638</v>
      </c>
    </row>
    <row r="64" spans="1:1" x14ac:dyDescent="0.3">
      <c r="A64">
        <f t="shared" ca="1" si="0"/>
        <v>0.12688742026361322</v>
      </c>
    </row>
    <row r="65" spans="1:1" x14ac:dyDescent="0.3">
      <c r="A65">
        <f t="shared" ca="1" si="0"/>
        <v>6.6171184654383541E-2</v>
      </c>
    </row>
    <row r="66" spans="1:1" x14ac:dyDescent="0.3">
      <c r="A66">
        <f t="shared" ca="1" si="0"/>
        <v>0.14387722811319914</v>
      </c>
    </row>
    <row r="67" spans="1:1" x14ac:dyDescent="0.3">
      <c r="A67">
        <f t="shared" ca="1" si="0"/>
        <v>0.13427268778380619</v>
      </c>
    </row>
    <row r="68" spans="1:1" x14ac:dyDescent="0.3">
      <c r="A68">
        <f t="shared" ca="1" si="0"/>
        <v>0.15910799084400684</v>
      </c>
    </row>
    <row r="69" spans="1:1" x14ac:dyDescent="0.3">
      <c r="A69">
        <f t="shared" ca="1" si="0"/>
        <v>0.2610465912751273</v>
      </c>
    </row>
    <row r="70" spans="1:1" x14ac:dyDescent="0.3">
      <c r="A70">
        <f t="shared" ref="A70:A103" ca="1" si="1">RAND()</f>
        <v>7.5933533397483099E-2</v>
      </c>
    </row>
    <row r="71" spans="1:1" x14ac:dyDescent="0.3">
      <c r="A71">
        <f t="shared" ca="1" si="1"/>
        <v>0.26082515392184635</v>
      </c>
    </row>
    <row r="72" spans="1:1" x14ac:dyDescent="0.3">
      <c r="A72">
        <f t="shared" ca="1" si="1"/>
        <v>0.41351844190570164</v>
      </c>
    </row>
    <row r="73" spans="1:1" x14ac:dyDescent="0.3">
      <c r="A73">
        <f t="shared" ca="1" si="1"/>
        <v>0.78344219314038965</v>
      </c>
    </row>
    <row r="74" spans="1:1" x14ac:dyDescent="0.3">
      <c r="A74">
        <f t="shared" ca="1" si="1"/>
        <v>0.79998888825281467</v>
      </c>
    </row>
    <row r="75" spans="1:1" x14ac:dyDescent="0.3">
      <c r="A75">
        <f t="shared" ca="1" si="1"/>
        <v>0.62380055407295054</v>
      </c>
    </row>
    <row r="76" spans="1:1" x14ac:dyDescent="0.3">
      <c r="A76">
        <f t="shared" ca="1" si="1"/>
        <v>1.2289505329191375E-2</v>
      </c>
    </row>
    <row r="77" spans="1:1" x14ac:dyDescent="0.3">
      <c r="A77">
        <f t="shared" ca="1" si="1"/>
        <v>9.3882441161351804E-2</v>
      </c>
    </row>
    <row r="78" spans="1:1" x14ac:dyDescent="0.3">
      <c r="A78">
        <f t="shared" ca="1" si="1"/>
        <v>0.17839835824507377</v>
      </c>
    </row>
    <row r="79" spans="1:1" x14ac:dyDescent="0.3">
      <c r="A79">
        <f t="shared" ca="1" si="1"/>
        <v>0.16398790534748364</v>
      </c>
    </row>
    <row r="80" spans="1:1" x14ac:dyDescent="0.3">
      <c r="A80">
        <f t="shared" ca="1" si="1"/>
        <v>0.16069762366104945</v>
      </c>
    </row>
    <row r="81" spans="1:1" x14ac:dyDescent="0.3">
      <c r="A81">
        <f t="shared" ca="1" si="1"/>
        <v>0.34174486937570159</v>
      </c>
    </row>
    <row r="82" spans="1:1" x14ac:dyDescent="0.3">
      <c r="A82">
        <f t="shared" ca="1" si="1"/>
        <v>0.73584951837723722</v>
      </c>
    </row>
    <row r="83" spans="1:1" x14ac:dyDescent="0.3">
      <c r="A83">
        <f t="shared" ca="1" si="1"/>
        <v>0.81507277051921068</v>
      </c>
    </row>
    <row r="84" spans="1:1" x14ac:dyDescent="0.3">
      <c r="A84">
        <f t="shared" ca="1" si="1"/>
        <v>0.15497407276229147</v>
      </c>
    </row>
    <row r="85" spans="1:1" x14ac:dyDescent="0.3">
      <c r="A85">
        <f t="shared" ca="1" si="1"/>
        <v>0.31654997384394923</v>
      </c>
    </row>
    <row r="86" spans="1:1" x14ac:dyDescent="0.3">
      <c r="A86">
        <f t="shared" ca="1" si="1"/>
        <v>0.16797121035726836</v>
      </c>
    </row>
    <row r="87" spans="1:1" x14ac:dyDescent="0.3">
      <c r="A87">
        <f t="shared" ca="1" si="1"/>
        <v>6.5518565129082718E-2</v>
      </c>
    </row>
    <row r="88" spans="1:1" x14ac:dyDescent="0.3">
      <c r="A88">
        <f t="shared" ca="1" si="1"/>
        <v>0.11860090960674696</v>
      </c>
    </row>
    <row r="89" spans="1:1" x14ac:dyDescent="0.3">
      <c r="A89">
        <f t="shared" ca="1" si="1"/>
        <v>0.26221547628684483</v>
      </c>
    </row>
    <row r="90" spans="1:1" x14ac:dyDescent="0.3">
      <c r="A90">
        <f t="shared" ca="1" si="1"/>
        <v>0.54372299146040237</v>
      </c>
    </row>
    <row r="91" spans="1:1" x14ac:dyDescent="0.3">
      <c r="A91">
        <f t="shared" ca="1" si="1"/>
        <v>0.2409692113824875</v>
      </c>
    </row>
    <row r="92" spans="1:1" x14ac:dyDescent="0.3">
      <c r="A92">
        <f t="shared" ca="1" si="1"/>
        <v>0.54893570287562499</v>
      </c>
    </row>
    <row r="93" spans="1:1" x14ac:dyDescent="0.3">
      <c r="A93">
        <f t="shared" ca="1" si="1"/>
        <v>0.75769188252196229</v>
      </c>
    </row>
    <row r="94" spans="1:1" x14ac:dyDescent="0.3">
      <c r="A94">
        <f t="shared" ca="1" si="1"/>
        <v>0.4189981015792954</v>
      </c>
    </row>
    <row r="95" spans="1:1" x14ac:dyDescent="0.3">
      <c r="A95">
        <f t="shared" ca="1" si="1"/>
        <v>0.90240258879145296</v>
      </c>
    </row>
    <row r="96" spans="1:1" x14ac:dyDescent="0.3">
      <c r="A96">
        <f t="shared" ca="1" si="1"/>
        <v>0.94658273912059576</v>
      </c>
    </row>
    <row r="97" spans="1:1" x14ac:dyDescent="0.3">
      <c r="A97">
        <f t="shared" ca="1" si="1"/>
        <v>0.85157332022043442</v>
      </c>
    </row>
    <row r="98" spans="1:1" x14ac:dyDescent="0.3">
      <c r="A98">
        <f t="shared" ca="1" si="1"/>
        <v>0.34773832254780801</v>
      </c>
    </row>
    <row r="99" spans="1:1" x14ac:dyDescent="0.3">
      <c r="A99">
        <f t="shared" ca="1" si="1"/>
        <v>0.63993341070445631</v>
      </c>
    </row>
    <row r="100" spans="1:1" x14ac:dyDescent="0.3">
      <c r="A100">
        <f t="shared" ca="1" si="1"/>
        <v>0.94005158079024242</v>
      </c>
    </row>
    <row r="101" spans="1:1" x14ac:dyDescent="0.3">
      <c r="A101">
        <f t="shared" ca="1" si="1"/>
        <v>0.25207793868858386</v>
      </c>
    </row>
    <row r="102" spans="1:1" x14ac:dyDescent="0.3">
      <c r="A102">
        <f t="shared" ca="1" si="1"/>
        <v>0.74449520506396616</v>
      </c>
    </row>
    <row r="103" spans="1:1" x14ac:dyDescent="0.3">
      <c r="A103">
        <f t="shared" ca="1" si="1"/>
        <v>0.85753103140343501</v>
      </c>
    </row>
    <row r="104" spans="1:1" x14ac:dyDescent="0.3">
      <c r="A104">
        <f ca="1">RAND()</f>
        <v>0.71007753837012932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8740-20CE-4A59-AE06-5A6A0741C7B9}">
  <dimension ref="A1:G32"/>
  <sheetViews>
    <sheetView topLeftCell="A6" zoomScaleNormal="100" workbookViewId="0">
      <selection activeCell="A31" sqref="A31"/>
    </sheetView>
  </sheetViews>
  <sheetFormatPr defaultRowHeight="14.4" x14ac:dyDescent="0.3"/>
  <sheetData>
    <row r="1" spans="1:6" x14ac:dyDescent="0.3">
      <c r="A1" t="s">
        <v>60</v>
      </c>
    </row>
    <row r="2" spans="1:6" x14ac:dyDescent="0.3">
      <c r="A2" t="s">
        <v>15</v>
      </c>
    </row>
    <row r="3" spans="1:6" x14ac:dyDescent="0.3">
      <c r="A3" t="s">
        <v>16</v>
      </c>
    </row>
    <row r="5" spans="1:6" x14ac:dyDescent="0.3">
      <c r="A5" t="s">
        <v>17</v>
      </c>
      <c r="D5" t="s">
        <v>31</v>
      </c>
      <c r="E5">
        <v>50</v>
      </c>
    </row>
    <row r="6" spans="1:6" x14ac:dyDescent="0.3">
      <c r="A6" t="s">
        <v>18</v>
      </c>
      <c r="D6" t="s">
        <v>32</v>
      </c>
      <c r="E6">
        <v>5</v>
      </c>
    </row>
    <row r="7" spans="1:6" x14ac:dyDescent="0.3">
      <c r="A7" t="s">
        <v>69</v>
      </c>
      <c r="F7" s="10">
        <v>0.68</v>
      </c>
    </row>
    <row r="9" spans="1:6" x14ac:dyDescent="0.3">
      <c r="A9" t="s">
        <v>21</v>
      </c>
    </row>
    <row r="10" spans="1:6" x14ac:dyDescent="0.3">
      <c r="A10" t="s">
        <v>22</v>
      </c>
      <c r="E10" t="s">
        <v>23</v>
      </c>
    </row>
    <row r="11" spans="1:6" x14ac:dyDescent="0.3">
      <c r="A11">
        <v>45</v>
      </c>
      <c r="B11" s="6">
        <f>_xlfn.NORM.DIST($A11,$E$5,$E$6,TRUE)</f>
        <v>0.15865525393145699</v>
      </c>
      <c r="E11" t="s">
        <v>70</v>
      </c>
    </row>
    <row r="12" spans="1:6" x14ac:dyDescent="0.3">
      <c r="A12">
        <v>55</v>
      </c>
      <c r="B12" s="6">
        <f>_xlfn.NORM.DIST($A12,$E$5,$E$6,TRUE)</f>
        <v>0.84134474606854304</v>
      </c>
      <c r="E12" t="s">
        <v>71</v>
      </c>
    </row>
    <row r="14" spans="1:6" x14ac:dyDescent="0.3">
      <c r="A14" t="s">
        <v>24</v>
      </c>
    </row>
    <row r="15" spans="1:6" x14ac:dyDescent="0.3">
      <c r="A15" s="10">
        <f>B12-B11</f>
        <v>0.68268949213708607</v>
      </c>
    </row>
    <row r="17" spans="1:7" x14ac:dyDescent="0.3">
      <c r="A17" t="s">
        <v>61</v>
      </c>
    </row>
    <row r="18" spans="1:7" x14ac:dyDescent="0.3">
      <c r="A18" s="7" t="s">
        <v>25</v>
      </c>
    </row>
    <row r="19" spans="1:7" x14ac:dyDescent="0.3">
      <c r="A19" t="s">
        <v>26</v>
      </c>
    </row>
    <row r="21" spans="1:7" x14ac:dyDescent="0.3">
      <c r="A21" s="1" t="s">
        <v>27</v>
      </c>
      <c r="D21" s="1" t="s">
        <v>28</v>
      </c>
    </row>
    <row r="23" spans="1:7" x14ac:dyDescent="0.3">
      <c r="A23" t="s">
        <v>29</v>
      </c>
      <c r="B23" t="s">
        <v>30</v>
      </c>
      <c r="F23" s="1" t="s">
        <v>74</v>
      </c>
      <c r="G23" t="s">
        <v>76</v>
      </c>
    </row>
    <row r="24" spans="1:7" x14ac:dyDescent="0.3">
      <c r="A24" t="s">
        <v>31</v>
      </c>
      <c r="B24" t="s">
        <v>17</v>
      </c>
      <c r="G24" t="s">
        <v>75</v>
      </c>
    </row>
    <row r="25" spans="1:7" x14ac:dyDescent="0.3">
      <c r="A25" t="s">
        <v>32</v>
      </c>
      <c r="B25" t="s">
        <v>18</v>
      </c>
    </row>
    <row r="27" spans="1:7" x14ac:dyDescent="0.3">
      <c r="A27" s="1" t="s">
        <v>33</v>
      </c>
      <c r="B27" s="1"/>
      <c r="C27" s="1"/>
      <c r="D27" s="1"/>
      <c r="E27" s="1"/>
    </row>
    <row r="28" spans="1:7" x14ac:dyDescent="0.3">
      <c r="A28" t="s">
        <v>72</v>
      </c>
    </row>
    <row r="29" spans="1:7" x14ac:dyDescent="0.3">
      <c r="A29" t="s">
        <v>73</v>
      </c>
    </row>
    <row r="30" spans="1:7" x14ac:dyDescent="0.3">
      <c r="A30" t="s">
        <v>77</v>
      </c>
    </row>
    <row r="31" spans="1:7" x14ac:dyDescent="0.3">
      <c r="A31" t="s">
        <v>78</v>
      </c>
    </row>
    <row r="32" spans="1:7" x14ac:dyDescent="0.3">
      <c r="A3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FDCA-1803-4D07-AEA8-EB03071F7BE9}">
  <dimension ref="A1:L26"/>
  <sheetViews>
    <sheetView zoomScaleNormal="100" workbookViewId="0">
      <selection activeCell="L6" sqref="L6"/>
    </sheetView>
  </sheetViews>
  <sheetFormatPr defaultRowHeight="14.4" x14ac:dyDescent="0.3"/>
  <sheetData>
    <row r="1" spans="1:12" x14ac:dyDescent="0.3">
      <c r="A1" t="s">
        <v>62</v>
      </c>
      <c r="L1" t="s">
        <v>64</v>
      </c>
    </row>
    <row r="2" spans="1:12" x14ac:dyDescent="0.3">
      <c r="A2" t="s">
        <v>35</v>
      </c>
      <c r="L2" t="s">
        <v>57</v>
      </c>
    </row>
    <row r="4" spans="1:12" x14ac:dyDescent="0.3">
      <c r="A4" t="s">
        <v>36</v>
      </c>
      <c r="L4" t="s">
        <v>58</v>
      </c>
    </row>
    <row r="5" spans="1:12" x14ac:dyDescent="0.3">
      <c r="A5" t="s">
        <v>37</v>
      </c>
      <c r="L5" t="s">
        <v>81</v>
      </c>
    </row>
    <row r="6" spans="1:12" x14ac:dyDescent="0.3">
      <c r="A6" t="s">
        <v>38</v>
      </c>
      <c r="L6" t="s">
        <v>82</v>
      </c>
    </row>
    <row r="7" spans="1:12" x14ac:dyDescent="0.3">
      <c r="A7" t="s">
        <v>40</v>
      </c>
      <c r="L7" t="s">
        <v>80</v>
      </c>
    </row>
    <row r="8" spans="1:12" x14ac:dyDescent="0.3">
      <c r="A8" t="s">
        <v>39</v>
      </c>
    </row>
    <row r="10" spans="1:12" x14ac:dyDescent="0.3">
      <c r="A10" t="s">
        <v>63</v>
      </c>
    </row>
    <row r="11" spans="1:12" x14ac:dyDescent="0.3">
      <c r="A11" t="s">
        <v>41</v>
      </c>
    </row>
    <row r="13" spans="1:12" x14ac:dyDescent="0.3">
      <c r="A13" t="s">
        <v>42</v>
      </c>
    </row>
    <row r="14" spans="1:12" x14ac:dyDescent="0.3">
      <c r="A14" t="s">
        <v>43</v>
      </c>
    </row>
    <row r="15" spans="1:12" x14ac:dyDescent="0.3">
      <c r="A15" t="s">
        <v>44</v>
      </c>
      <c r="D15" s="8">
        <f>1/6</f>
        <v>0.16666666666666666</v>
      </c>
      <c r="F15" t="s">
        <v>79</v>
      </c>
    </row>
    <row r="16" spans="1:12" x14ac:dyDescent="0.3">
      <c r="A16" t="s">
        <v>45</v>
      </c>
    </row>
    <row r="18" spans="1:5" x14ac:dyDescent="0.3">
      <c r="A18" t="s">
        <v>46</v>
      </c>
    </row>
    <row r="19" spans="1:5" x14ac:dyDescent="0.3">
      <c r="A19" t="s">
        <v>47</v>
      </c>
    </row>
    <row r="21" spans="1:5" x14ac:dyDescent="0.3">
      <c r="A21" t="s">
        <v>48</v>
      </c>
      <c r="B21">
        <v>15</v>
      </c>
      <c r="D21" t="s">
        <v>49</v>
      </c>
    </row>
    <row r="22" spans="1:5" x14ac:dyDescent="0.3">
      <c r="A22" t="s">
        <v>50</v>
      </c>
      <c r="B22">
        <v>0.5</v>
      </c>
      <c r="D22" t="s">
        <v>51</v>
      </c>
    </row>
    <row r="24" spans="1:5" x14ac:dyDescent="0.3">
      <c r="A24" t="s">
        <v>52</v>
      </c>
    </row>
    <row r="25" spans="1:5" x14ac:dyDescent="0.3">
      <c r="B25" t="s">
        <v>53</v>
      </c>
      <c r="C25" s="9">
        <f>_xlfn.BINOM.DIST(7,$B$21,$B$22,TRUE)</f>
        <v>0.5</v>
      </c>
      <c r="E25" t="s">
        <v>55</v>
      </c>
    </row>
    <row r="26" spans="1:5" x14ac:dyDescent="0.3">
      <c r="B26" t="s">
        <v>54</v>
      </c>
      <c r="C26" s="9">
        <f>1-C25</f>
        <v>0.5</v>
      </c>
      <c r="E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Q3,4</vt:lpstr>
      <vt:lpstr>Q5,6,7,8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Poorbayan D</cp:lastModifiedBy>
  <cp:revision/>
  <dcterms:created xsi:type="dcterms:W3CDTF">2026-01-07T00:58:56Z</dcterms:created>
  <dcterms:modified xsi:type="dcterms:W3CDTF">2026-01-07T23:09:36Z</dcterms:modified>
  <cp:category/>
  <cp:contentStatus/>
</cp:coreProperties>
</file>